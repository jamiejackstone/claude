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Build and funding" sheetId="5" state="visible" r:id="rId5"/>
    <sheet xmlns:r="http://schemas.openxmlformats.org/officeDocument/2006/relationships" name="Funding 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 mmm yyyy"/>
    <numFmt numFmtId="166" formatCode="#,##0;(#,##0);-"/>
    <numFmt numFmtId="167" formatCode="£#,##0.00;(£#,##0.00);-"/>
    <numFmt numFmtId="168" formatCode="0.0%;(0.0%);-"/>
    <numFmt numFmtId="169" formatCode="£#,##0;(£#,##0);-"/>
    <numFmt numFmtId="170" formatCode="mmm yy"/>
    <numFmt numFmtId="171" formatCode="#,##0.0;(#,##0.0);-"/>
  </numFmts>
  <fonts count="8">
    <font>
      <name val="Calibri"/>
      <family val="2"/>
      <color theme="1"/>
      <sz val="11"/>
      <scheme val="minor"/>
    </font>
    <font>
      <name val="Arial"/>
      <b val="1"/>
      <color rgb="0014264E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0000FF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4264E"/>
      </patternFill>
    </fill>
    <fill>
      <patternFill patternType="solid">
        <fgColor rgb="00FDE9C4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wrapText="1"/>
    </xf>
    <xf numFmtId="166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0" fontId="3" fillId="4" borderId="0" pivotButton="0" quotePrefix="0" xfId="0"/>
    <xf numFmtId="169" fontId="3" fillId="4" borderId="0" pivotButton="0" quotePrefix="0" xfId="0"/>
    <xf numFmtId="0" fontId="3" fillId="5" borderId="0" pivotButton="0" quotePrefix="0" xfId="0"/>
    <xf numFmtId="169" fontId="3" fillId="5" borderId="0" pivotButton="0" quotePrefix="0" xfId="0"/>
    <xf numFmtId="169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4" borderId="0" pivotButton="0" quotePrefix="0" xfId="0"/>
    <xf numFmtId="165" fontId="7" fillId="0" borderId="0" pivotButton="0" quotePrefix="0" xfId="0"/>
    <xf numFmtId="165" fontId="3" fillId="0" borderId="0" pivotButton="0" quotePrefix="0" xfId="0"/>
    <xf numFmtId="166" fontId="7" fillId="0" borderId="0" pivotButton="0" quotePrefix="0" xfId="0"/>
    <xf numFmtId="166" fontId="3" fillId="0" borderId="0" pivotButton="0" quotePrefix="0" xfId="0"/>
    <xf numFmtId="167" fontId="7" fillId="0" borderId="0" pivotButton="0" quotePrefix="0" xfId="0"/>
    <xf numFmtId="167" fontId="3" fillId="0" borderId="0" pivotButton="0" quotePrefix="0" xfId="0"/>
    <xf numFmtId="168" fontId="7" fillId="0" borderId="0" pivotButton="0" quotePrefix="0" xfId="0"/>
    <xf numFmtId="168" fontId="3" fillId="0" borderId="0" pivotButton="0" quotePrefix="0" xfId="0"/>
    <xf numFmtId="169" fontId="7" fillId="0" borderId="0" pivotButton="0" quotePrefix="0" xfId="0"/>
    <xf numFmtId="2" fontId="7" fillId="0" borderId="0" pivotButton="0" quotePrefix="0" xfId="0"/>
    <xf numFmtId="2" fontId="3" fillId="0" borderId="0" pivotButton="0" quotePrefix="0" xfId="0"/>
    <xf numFmtId="167" fontId="6" fillId="0" borderId="0" pivotButton="0" quotePrefix="0" xfId="0"/>
    <xf numFmtId="0" fontId="7" fillId="0" borderId="0" pivotButton="0" quotePrefix="0" xfId="0"/>
    <xf numFmtId="170" fontId="3" fillId="0" borderId="0" pivotButton="0" quotePrefix="0" xfId="0"/>
    <xf numFmtId="1" fontId="6" fillId="0" borderId="0" pivotButton="0" quotePrefix="0" xfId="0"/>
    <xf numFmtId="0" fontId="0" fillId="3" borderId="0" pivotButton="0" quotePrefix="0" xfId="0"/>
    <xf numFmtId="171" fontId="6" fillId="0" borderId="0" pivotButton="0" quotePrefix="0" xfId="0"/>
    <xf numFmtId="169" fontId="0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site profit: rented halls vs Heroes Arena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'Summary'!$B$4:$E$4</f>
            </numRef>
          </cat>
          <val>
            <numRef>
              <f>'Summary'!$B$25:$E$25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£ a year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Heroes Arena 3-year model, v0.2 DRAFT (30 Oct 2026)</t>
        </is>
      </c>
    </row>
    <row r="3">
      <c r="A3" s="2" t="inlineStr">
        <is>
          <t>Internal. Not for schools. A desk model for discussion, not a forecast, quote or advice.</t>
        </is>
      </c>
    </row>
    <row r="4">
      <c r="A4" s="2" t="inlineStr"/>
    </row>
    <row r="5">
      <c r="A5" s="3" t="inlineStr">
        <is>
          <t>How to use it</t>
        </is>
      </c>
    </row>
    <row r="6">
      <c r="A6" s="2" t="inlineStr">
        <is>
          <t>1. Summary: the 3-year picture against today in rented halls, with a chart.</t>
        </is>
      </c>
    </row>
    <row r="7">
      <c r="A7" s="2" t="inlineStr">
        <is>
          <t>2. Assumptions: every input, with its source. Change the case in cell C3 (1 Downside, 2 Cautious, 3 Target).</t>
        </is>
      </c>
    </row>
    <row r="8">
      <c r="A8" s="2" t="inlineStr">
        <is>
          <t>3. Monthly: 36 months from opening, built only from the Assumptions sheet.</t>
        </is>
      </c>
    </row>
    <row r="9">
      <c r="A9" s="2" t="inlineStr">
        <is>
          <t>4. Build and funding: the build cost floor and how it might be paid for.</t>
        </is>
      </c>
    </row>
    <row r="10">
      <c r="A10" s="2" t="inlineStr">
        <is>
          <t>5. Funding routes: which body applies for what, and how the CIC and the Ltd work together.</t>
        </is>
      </c>
    </row>
    <row r="11">
      <c r="A11" s="2" t="inlineStr"/>
    </row>
    <row r="12">
      <c r="A12" s="3" t="inlineStr">
        <is>
          <t>Colours</t>
        </is>
      </c>
    </row>
    <row r="13">
      <c r="A13" s="2" t="inlineStr">
        <is>
          <t>Blue text = an input you can change. Black = a formula. Yellow = the case selector.</t>
        </is>
      </c>
    </row>
    <row r="14">
      <c r="A14" s="2" t="inlineStr"/>
    </row>
    <row r="15">
      <c r="A15" s="3" t="inlineStr">
        <is>
          <t>Labels (as in the KB)</t>
        </is>
      </c>
    </row>
    <row r="16">
      <c r="A16" s="2" t="inlineStr">
        <is>
          <t>Actual = invoices or live systems. Indicative = a supplier's informal figure. List price = published price. Desk estimate = our own calculation. Jamie assumption = a figure Jamie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Heroes Arena: 3-year summary</t>
        </is>
      </c>
    </row>
    <row r="2">
      <c r="A2" s="4">
        <f>CONCATENATE("Case shown: ",Assumptions!$D$3,". Internal draft for discussion. Every input is labelled on the Assumptions sheet.")</f>
        <v/>
      </c>
    </row>
    <row r="4" ht="30" customHeight="1">
      <c r="A4" s="5" t="inlineStr"/>
      <c r="B4" s="5" t="inlineStr">
        <is>
          <t>Today, rented halls (per year)</t>
        </is>
      </c>
      <c r="C4" s="5" t="inlineStr">
        <is>
          <t>Arena Year 1</t>
        </is>
      </c>
      <c r="D4" s="5" t="inlineStr">
        <is>
          <t>Arena Year 2</t>
        </is>
      </c>
      <c r="E4" s="5" t="inlineStr">
        <is>
          <t>Arena Year 3</t>
        </is>
      </c>
    </row>
    <row r="5">
      <c r="A5" s="2" t="inlineStr">
        <is>
          <t>Members at year end</t>
        </is>
      </c>
      <c r="B5" s="6">
        <f>Assumptions!$F$100</f>
        <v/>
      </c>
      <c r="C5" s="6">
        <f>Monthly!N9</f>
        <v/>
      </c>
      <c r="D5" s="6">
        <f>Monthly!Z9</f>
        <v/>
      </c>
      <c r="E5" s="6">
        <f>Monthly!AL9</f>
        <v/>
      </c>
    </row>
    <row r="6">
      <c r="A6" s="2" t="inlineStr">
        <is>
          <t>Class sessions a week at year end</t>
        </is>
      </c>
      <c r="B6" s="6">
        <f>Assumptions!$F$102</f>
        <v/>
      </c>
      <c r="C6" s="6">
        <f>Monthly!N13</f>
        <v/>
      </c>
      <c r="D6" s="6">
        <f>Monthly!Z13</f>
        <v/>
      </c>
      <c r="E6" s="6">
        <f>Monthly!AL13</f>
        <v/>
      </c>
    </row>
    <row r="7">
      <c r="A7" s="2" t="inlineStr">
        <is>
          <t>Court hours used, share of usable hours</t>
        </is>
      </c>
      <c r="B7" s="7" t="inlineStr"/>
      <c r="C7" s="7">
        <f>Monthly!N60</f>
        <v/>
      </c>
      <c r="D7" s="7">
        <f>Monthly!Z60</f>
        <v/>
      </c>
      <c r="E7" s="7">
        <f>Monthly!AL60</f>
        <v/>
      </c>
    </row>
    <row r="9">
      <c r="A9" s="3" t="inlineStr">
        <is>
          <t>Income</t>
        </is>
      </c>
    </row>
    <row r="10">
      <c r="A10" s="2" t="inlineStr">
        <is>
          <t>Memberships, multi-session plans and joining fees</t>
        </is>
      </c>
      <c r="B10" s="8">
        <f>Assumptions!$F$100*Assumptions!$F$12*12*(1-Assumptions!$F$21)</f>
        <v/>
      </c>
      <c r="C10" s="8">
        <f>SUMIF(Monthly!$C$5:$AL$5,1,Monthly!$C$16:$AL$16)+SUMIF(Monthly!$C$5:$AL$5,1,Monthly!$C$17:$AL$17)+SUMIF(Monthly!$C$5:$AL$5,1,Monthly!$C$18:$AL$18)+SUMIF(Monthly!$C$5:$AL$5,1,Monthly!$C$19:$AL$19)</f>
        <v/>
      </c>
      <c r="D10" s="8">
        <f>SUMIF(Monthly!$C$5:$AL$5,2,Monthly!$C$16:$AL$16)+SUMIF(Monthly!$C$5:$AL$5,2,Monthly!$C$17:$AL$17)+SUMIF(Monthly!$C$5:$AL$5,2,Monthly!$C$18:$AL$18)+SUMIF(Monthly!$C$5:$AL$5,2,Monthly!$C$19:$AL$19)</f>
        <v/>
      </c>
      <c r="E10" s="8">
        <f>SUMIF(Monthly!$C$5:$AL$5,3,Monthly!$C$16:$AL$16)+SUMIF(Monthly!$C$5:$AL$5,3,Monthly!$C$17:$AL$17)+SUMIF(Monthly!$C$5:$AL$5,3,Monthly!$C$18:$AL$18)+SUMIF(Monthly!$C$5:$AL$5,3,Monthly!$C$19:$AL$19)</f>
        <v/>
      </c>
    </row>
    <row r="11">
      <c r="A11" s="2" t="inlineStr">
        <is>
          <t>Birthday parties and 3x3 tournaments</t>
        </is>
      </c>
      <c r="B11" s="8" t="n">
        <v>0</v>
      </c>
      <c r="C11" s="8">
        <f>SUMIF(Monthly!$C$5:$AL$5,1,Monthly!$C$20:$AL$20)+SUMIF(Monthly!$C$5:$AL$5,1,Monthly!$C$21:$AL$21)</f>
        <v/>
      </c>
      <c r="D11" s="8">
        <f>SUMIF(Monthly!$C$5:$AL$5,2,Monthly!$C$20:$AL$20)+SUMIF(Monthly!$C$5:$AL$5,2,Monthly!$C$21:$AL$21)</f>
        <v/>
      </c>
      <c r="E11" s="8">
        <f>SUMIF(Monthly!$C$5:$AL$5,3,Monthly!$C$20:$AL$20)+SUMIF(Monthly!$C$5:$AL$5,3,Monthly!$C$21:$AL$21)</f>
        <v/>
      </c>
    </row>
    <row r="12">
      <c r="A12" s="2" t="inlineStr">
        <is>
          <t>Holiday camps and funded places</t>
        </is>
      </c>
      <c r="B12" s="8" t="n">
        <v>0</v>
      </c>
      <c r="C12" s="8">
        <f>SUMIF(Monthly!$C$5:$AL$5,1,Monthly!$C$22:$AL$22)+SUMIF(Monthly!$C$5:$AL$5,1,Monthly!$C$23:$AL$23)</f>
        <v/>
      </c>
      <c r="D12" s="8">
        <f>SUMIF(Monthly!$C$5:$AL$5,2,Monthly!$C$22:$AL$22)+SUMIF(Monthly!$C$5:$AL$5,2,Monthly!$C$23:$AL$23)</f>
        <v/>
      </c>
      <c r="E12" s="8">
        <f>SUMIF(Monthly!$C$5:$AL$5,3,Monthly!$C$22:$AL$22)+SUMIF(Monthly!$C$5:$AL$5,3,Monthly!$C$23:$AL$23)</f>
        <v/>
      </c>
    </row>
    <row r="13">
      <c r="A13" s="2" t="inlineStr">
        <is>
          <t>Breakfast All Stars and leagues</t>
        </is>
      </c>
      <c r="B13" s="8" t="n">
        <v>0</v>
      </c>
      <c r="C13" s="8">
        <f>SUMIF(Monthly!$C$5:$AL$5,1,Monthly!$C$24:$AL$24)+SUMIF(Monthly!$C$5:$AL$5,1,Monthly!$C$25:$AL$25)</f>
        <v/>
      </c>
      <c r="D13" s="8">
        <f>SUMIF(Monthly!$C$5:$AL$5,2,Monthly!$C$24:$AL$24)+SUMIF(Monthly!$C$5:$AL$5,2,Monthly!$C$25:$AL$25)</f>
        <v/>
      </c>
      <c r="E13" s="8">
        <f>SUMIF(Monthly!$C$5:$AL$5,3,Monthly!$C$24:$AL$24)+SUMIF(Monthly!$C$5:$AL$5,3,Monthly!$C$25:$AL$25)</f>
        <v/>
      </c>
    </row>
    <row r="14">
      <c r="A14" s="2" t="inlineStr">
        <is>
          <t>School PE support, hire and grants</t>
        </is>
      </c>
      <c r="B14" s="8" t="n">
        <v>0</v>
      </c>
      <c r="C14" s="8">
        <f>SUMIF(Monthly!$C$5:$AL$5,1,Monthly!$C$26:$AL$26)+SUMIF(Monthly!$C$5:$AL$5,1,Monthly!$C$27:$AL$27)+SUMIF(Monthly!$C$5:$AL$5,1,Monthly!$C$28:$AL$28)</f>
        <v/>
      </c>
      <c r="D14" s="8">
        <f>SUMIF(Monthly!$C$5:$AL$5,2,Monthly!$C$26:$AL$26)+SUMIF(Monthly!$C$5:$AL$5,2,Monthly!$C$27:$AL$27)+SUMIF(Monthly!$C$5:$AL$5,2,Monthly!$C$28:$AL$28)</f>
        <v/>
      </c>
      <c r="E14" s="8">
        <f>SUMIF(Monthly!$C$5:$AL$5,3,Monthly!$C$26:$AL$26)+SUMIF(Monthly!$C$5:$AL$5,3,Monthly!$C$27:$AL$27)+SUMIF(Monthly!$C$5:$AL$5,3,Monthly!$C$28:$AL$28)</f>
        <v/>
      </c>
    </row>
    <row r="15">
      <c r="A15" s="9" t="inlineStr">
        <is>
          <t>Total income</t>
        </is>
      </c>
      <c r="B15" s="10">
        <f>SUM(B10:B14)</f>
        <v/>
      </c>
      <c r="C15" s="10">
        <f>SUM(C10:C14)</f>
        <v/>
      </c>
      <c r="D15" s="10">
        <f>SUM(D10:D14)</f>
        <v/>
      </c>
      <c r="E15" s="10">
        <f>SUM(E10:E14)</f>
        <v/>
      </c>
    </row>
    <row r="17">
      <c r="A17" s="3" t="inlineStr">
        <is>
          <t>Costs</t>
        </is>
      </c>
    </row>
    <row r="18">
      <c r="A18" s="2" t="inlineStr">
        <is>
          <t>Coaching and session costs</t>
        </is>
      </c>
      <c r="B18" s="8">
        <f>Assumptions!$F$102*Assumptions!$F$20*Assumptions!$F$28+B10/(1-Assumptions!$F$21)*Assumptions!$F$22</f>
        <v/>
      </c>
      <c r="C18" s="8">
        <f>SUMIF(Monthly!$C$5:$AL$5,1,Monthly!$C$41:$AL$41)</f>
        <v/>
      </c>
      <c r="D18" s="8">
        <f>SUMIF(Monthly!$C$5:$AL$5,2,Monthly!$C$41:$AL$41)</f>
        <v/>
      </c>
      <c r="E18" s="8">
        <f>SUMIF(Monthly!$C$5:$AL$5,3,Monthly!$C$41:$AL$41)</f>
        <v/>
      </c>
    </row>
    <row r="19">
      <c r="A19" s="2" t="inlineStr">
        <is>
          <t>Hall rent</t>
        </is>
      </c>
      <c r="B19" s="8">
        <f>Assumptions!$F$101*12</f>
        <v/>
      </c>
      <c r="C19" s="8">
        <f>0</f>
        <v/>
      </c>
      <c r="D19" s="8">
        <f>0</f>
        <v/>
      </c>
      <c r="E19" s="8">
        <f>0</f>
        <v/>
      </c>
    </row>
    <row r="20">
      <c r="A20" s="2" t="inlineStr">
        <is>
          <t>Arena finance</t>
        </is>
      </c>
      <c r="B20" s="8" t="n">
        <v>0</v>
      </c>
      <c r="C20" s="8">
        <f>SUMIF(Monthly!$C$5:$AL$5,1,Monthly!$C$46:$AL$46)</f>
        <v/>
      </c>
      <c r="D20" s="8">
        <f>SUMIF(Monthly!$C$5:$AL$5,2,Monthly!$C$46:$AL$46)</f>
        <v/>
      </c>
      <c r="E20" s="8">
        <f>SUMIF(Monthly!$C$5:$AL$5,3,Monthly!$C$46:$AL$46)</f>
        <v/>
      </c>
    </row>
    <row r="21">
      <c r="A21" s="2" t="inlineStr">
        <is>
          <t>Arena running and heating</t>
        </is>
      </c>
      <c r="B21" s="8" t="n">
        <v>0</v>
      </c>
      <c r="C21" s="8">
        <f>SUMIF(Monthly!$C$5:$AL$5,1,Monthly!$C$47:$AL$47)+SUMIF(Monthly!$C$5:$AL$5,1,Monthly!$C$48:$AL$48)+SUMIF(Monthly!$C$5:$AL$5,1,Monthly!$C$49:$AL$49)</f>
        <v/>
      </c>
      <c r="D21" s="8">
        <f>SUMIF(Monthly!$C$5:$AL$5,2,Monthly!$C$47:$AL$47)+SUMIF(Monthly!$C$5:$AL$5,2,Monthly!$C$48:$AL$48)+SUMIF(Monthly!$C$5:$AL$5,2,Monthly!$C$49:$AL$49)</f>
        <v/>
      </c>
      <c r="E21" s="8">
        <f>SUMIF(Monthly!$C$5:$AL$5,3,Monthly!$C$47:$AL$47)+SUMIF(Monthly!$C$5:$AL$5,3,Monthly!$C$48:$AL$48)+SUMIF(Monthly!$C$5:$AL$5,3,Monthly!$C$49:$AL$49)</f>
        <v/>
      </c>
    </row>
    <row r="22">
      <c r="A22" s="2" t="inlineStr">
        <is>
          <t>Marketing, admin and kit</t>
        </is>
      </c>
      <c r="B22" s="8" t="n">
        <v>0</v>
      </c>
      <c r="C22" s="8">
        <f>SUMIF(Monthly!$C$5:$AL$5,1,Monthly!$C$50:$AL$50)+SUMIF(Monthly!$C$5:$AL$5,1,Monthly!$C$51:$AL$51)+SUMIF(Monthly!$C$5:$AL$5,1,Monthly!$C$52:$AL$52)</f>
        <v/>
      </c>
      <c r="D22" s="8">
        <f>SUMIF(Monthly!$C$5:$AL$5,2,Monthly!$C$50:$AL$50)+SUMIF(Monthly!$C$5:$AL$5,2,Monthly!$C$51:$AL$51)+SUMIF(Monthly!$C$5:$AL$5,2,Monthly!$C$52:$AL$52)</f>
        <v/>
      </c>
      <c r="E22" s="8">
        <f>SUMIF(Monthly!$C$5:$AL$5,3,Monthly!$C$50:$AL$50)+SUMIF(Monthly!$C$5:$AL$5,3,Monthly!$C$51:$AL$51)+SUMIF(Monthly!$C$5:$AL$5,3,Monthly!$C$52:$AL$52)</f>
        <v/>
      </c>
    </row>
    <row r="23">
      <c r="A23" s="9" t="inlineStr">
        <is>
          <t>Total costs</t>
        </is>
      </c>
      <c r="B23" s="10">
        <f>SUM(B18:B22)</f>
        <v/>
      </c>
      <c r="C23" s="10">
        <f>SUM(C18:C22)</f>
        <v/>
      </c>
      <c r="D23" s="10">
        <f>SUM(D18:D22)</f>
        <v/>
      </c>
      <c r="E23" s="10">
        <f>SUM(E18:E22)</f>
        <v/>
      </c>
    </row>
    <row r="25">
      <c r="A25" s="11" t="inlineStr">
        <is>
          <t>SITE PROFIT (before central overheads)</t>
        </is>
      </c>
      <c r="B25" s="12">
        <f>B15-B23</f>
        <v/>
      </c>
      <c r="C25" s="12">
        <f>C15-C23</f>
        <v/>
      </c>
      <c r="D25" s="12">
        <f>D15-D23</f>
        <v/>
      </c>
      <c r="E25" s="12">
        <f>E15-E23</f>
        <v/>
      </c>
    </row>
    <row r="26">
      <c r="A26" s="2" t="inlineStr">
        <is>
          <t>Profit margin</t>
        </is>
      </c>
      <c r="B26" s="7">
        <f>IF(B15=0,0,B25/B15)</f>
        <v/>
      </c>
      <c r="C26" s="7">
        <f>IF(C15=0,0,C25/C15)</f>
        <v/>
      </c>
      <c r="D26" s="7">
        <f>IF(D15=0,0,D25/D15)</f>
        <v/>
      </c>
      <c r="E26" s="7">
        <f>IF(E15=0,0,E25/E15)</f>
        <v/>
      </c>
    </row>
    <row r="27">
      <c r="A27" s="3" t="inlineStr">
        <is>
          <t>Extra profit vs rented halls</t>
        </is>
      </c>
      <c r="B27" s="13" t="inlineStr"/>
      <c r="C27" s="13">
        <f>C25-$B$25</f>
        <v/>
      </c>
      <c r="D27" s="13">
        <f>D25-$B$25</f>
        <v/>
      </c>
      <c r="E27" s="13">
        <f>E25-$B$25</f>
        <v/>
      </c>
    </row>
    <row r="28">
      <c r="A28" s="2" t="inlineStr">
        <is>
          <t>Income per member a year</t>
        </is>
      </c>
      <c r="B28" s="8">
        <f>IF(B5=0,0,B15/B5)</f>
        <v/>
      </c>
      <c r="C28" s="8">
        <f>IF(C5=0,0,C15/C5)</f>
        <v/>
      </c>
      <c r="D28" s="8">
        <f>IF(D5=0,0,D15/D5)</f>
        <v/>
      </c>
      <c r="E28" s="8">
        <f>IF(E5=0,0,E15/E5)</f>
        <v/>
      </c>
    </row>
    <row r="30">
      <c r="A30" s="3" t="inlineStr">
        <is>
          <t>Notes</t>
        </is>
      </c>
    </row>
    <row r="31">
      <c r="A31" s="4" t="inlineStr">
        <is>
          <t>"Today" is Aylesbury and Wendover in rented halls for a year at today's members, with no growth: halls cap the timetable.</t>
        </is>
      </c>
    </row>
    <row r="32">
      <c r="A32" s="4" t="inlineStr">
        <is>
          <t>Site profit is before central overheads (management, head office, owner pay). The Arena column also carries its own marketing, admin and kit, so the comparison is cautious.</t>
        </is>
      </c>
    </row>
    <row r="33">
      <c r="A33" s="4" t="inlineStr">
        <is>
          <t>Capacity: the Arena has about 45 usable court hours a week against 3 hours in halls today. Above about 90% the timetable is full.</t>
        </is>
      </c>
    </row>
    <row r="34">
      <c r="A34" s="4" t="inlineStr">
        <is>
          <t>On rent saved alone the Arena does not pay its way (Project Overview v0.2). The extra profit comes from growth: more members, 2nd sessions, parties, camps, breakfast and leagues.</t>
        </is>
      </c>
    </row>
    <row r="35">
      <c r="A35" s="4" t="inlineStr">
        <is>
          <t>Not included: business rates, structure insurance above the running allowance, professional fees and any build costs not covered by finance (see Build and funding).</t>
        </is>
      </c>
    </row>
    <row r="36">
      <c r="A36" s="4" t="inlineStr">
        <is>
          <t>Figures are a desk model for discussion, not a forecast or advice. VAT, CIC and finance terms to confirm with the accountant.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1" customWidth="1" min="4" max="4"/>
    <col width="11" customWidth="1" min="5" max="5"/>
    <col width="15" customWidth="1" min="6" max="6"/>
    <col width="90" customWidth="1" min="7" max="7"/>
  </cols>
  <sheetData>
    <row r="1">
      <c r="A1" s="1" t="inlineStr">
        <is>
          <t>Heroes Arena: assumptions</t>
        </is>
      </c>
    </row>
    <row r="2">
      <c r="A2" s="4" t="inlineStr">
        <is>
          <t>Blue = input you can change. Pick the case in C3; every other sheet follows. Labels say where each figure comes from.</t>
        </is>
      </c>
    </row>
    <row r="3">
      <c r="A3" s="3" t="inlineStr">
        <is>
          <t>Case shown (1 = Downside, 2 = Cautious, 3 = Target)</t>
        </is>
      </c>
      <c r="C3" s="14" t="n">
        <v>3</v>
      </c>
      <c r="D3" s="3">
        <f>CHOOSE($C$3,"Downside","Cautious","Target")</f>
        <v/>
      </c>
    </row>
    <row r="5">
      <c r="A5" s="15" t="inlineStr">
        <is>
          <t>Assumption</t>
        </is>
      </c>
      <c r="B5" s="15" t="inlineStr">
        <is>
          <t>Unit</t>
        </is>
      </c>
      <c r="C5" s="15" t="inlineStr">
        <is>
          <t>Downside</t>
        </is>
      </c>
      <c r="D5" s="15" t="inlineStr">
        <is>
          <t>Cautious</t>
        </is>
      </c>
      <c r="E5" s="15" t="inlineStr">
        <is>
          <t>Target</t>
        </is>
      </c>
      <c r="F5" s="15" t="inlineStr">
        <is>
          <t>Live (case shown)</t>
        </is>
      </c>
      <c r="G5" s="15" t="inlineStr">
        <is>
          <t>Source / label</t>
        </is>
      </c>
    </row>
    <row r="6">
      <c r="A6" s="9" t="inlineStr">
        <is>
          <t>Opening and members</t>
        </is>
      </c>
      <c r="B6" s="16" t="n"/>
      <c r="C6" s="16" t="n"/>
      <c r="D6" s="16" t="n"/>
      <c r="E6" s="16" t="n"/>
      <c r="F6" s="16" t="n"/>
      <c r="G6" s="16" t="n"/>
    </row>
    <row r="7">
      <c r="A7" s="2" t="inlineStr">
        <is>
          <t>Arena opens</t>
        </is>
      </c>
      <c r="B7" s="2" t="inlineStr">
        <is>
          <t>date</t>
        </is>
      </c>
      <c r="C7" s="17" t="n">
        <v>46631</v>
      </c>
      <c r="D7" s="17" t="n">
        <v>46631</v>
      </c>
      <c r="E7" s="17" t="n">
        <v>46631</v>
      </c>
      <c r="F7" s="18">
        <f>CHOOSE($C$3,C7,D7,E7)</f>
        <v/>
      </c>
      <c r="G7" s="4" t="inlineStr">
        <is>
          <t>Desk assumption: September 2027 (planning note v1.0: summer 2027 is the realistic fast date)</t>
        </is>
      </c>
    </row>
    <row r="8">
      <c r="A8" s="2" t="inlineStr">
        <is>
          <t>Members on opening (moving in)</t>
        </is>
      </c>
      <c r="B8" s="2" t="inlineStr">
        <is>
          <t>members</t>
        </is>
      </c>
      <c r="C8" s="19" t="n">
        <v>78</v>
      </c>
      <c r="D8" s="19" t="n">
        <v>100</v>
      </c>
      <c r="E8" s="19" t="n">
        <v>100</v>
      </c>
      <c r="F8" s="20">
        <f>CHOOSE($C$3,C8,D8,E8)</f>
        <v/>
      </c>
      <c r="G8" s="4" t="inlineStr">
        <is>
          <t>Jamie assumption: 100+ (Aylesbury 31 + Wendover 67 = 98, actual TeamUp 26 Oct 2026). Downside uses the KB retention case (~78 move)</t>
        </is>
      </c>
    </row>
    <row r="9">
      <c r="A9" s="2" t="inlineStr">
        <is>
          <t>Members, end of Year 1</t>
        </is>
      </c>
      <c r="B9" s="2" t="inlineStr">
        <is>
          <t>members</t>
        </is>
      </c>
      <c r="C9" s="19" t="n">
        <v>110</v>
      </c>
      <c r="D9" s="19" t="n">
        <v>150</v>
      </c>
      <c r="E9" s="19" t="n">
        <v>220</v>
      </c>
      <c r="F9" s="20">
        <f>CHOOSE($C$3,C9,D9,E9)</f>
        <v/>
      </c>
      <c r="G9" s="4" t="inlineStr">
        <is>
          <t>Jamie assumption (target); cautious and downside are desk estimates</t>
        </is>
      </c>
    </row>
    <row r="10">
      <c r="A10" s="2" t="inlineStr">
        <is>
          <t>Members, end of Year 2</t>
        </is>
      </c>
      <c r="B10" s="2" t="inlineStr">
        <is>
          <t>members</t>
        </is>
      </c>
      <c r="C10" s="19" t="n">
        <v>140</v>
      </c>
      <c r="D10" s="19" t="n">
        <v>200</v>
      </c>
      <c r="E10" s="19" t="n">
        <v>320</v>
      </c>
      <c r="F10" s="20">
        <f>CHOOSE($C$3,C10,D10,E10)</f>
        <v/>
      </c>
      <c r="G10" s="4" t="inlineStr">
        <is>
          <t>Jamie assumption (target); cautious and downside are desk estimates</t>
        </is>
      </c>
    </row>
    <row r="11">
      <c r="A11" s="2" t="inlineStr">
        <is>
          <t>Members, end of Year 3</t>
        </is>
      </c>
      <c r="B11" s="2" t="inlineStr">
        <is>
          <t>members</t>
        </is>
      </c>
      <c r="C11" s="19" t="n">
        <v>170</v>
      </c>
      <c r="D11" s="19" t="n">
        <v>250</v>
      </c>
      <c r="E11" s="19" t="n">
        <v>400</v>
      </c>
      <c r="F11" s="20">
        <f>CHOOSE($C$3,C11,D11,E11)</f>
        <v/>
      </c>
      <c r="G11" s="4" t="inlineStr">
        <is>
          <t>Target 400: Jamie, 29 Oct 2026. Cautious 250: KB growth case (HHOS 2.0 / Project Overview v0.2)</t>
        </is>
      </c>
    </row>
    <row r="12">
      <c r="A12" s="2" t="inlineStr">
        <is>
          <t>Membership fee, realised per member</t>
        </is>
      </c>
      <c r="B12" s="2" t="inlineStr">
        <is>
          <t>£/month</t>
        </is>
      </c>
      <c r="C12" s="21" t="n">
        <v>35</v>
      </c>
      <c r="D12" s="21" t="n">
        <v>35</v>
      </c>
      <c r="E12" s="21" t="n">
        <v>35</v>
      </c>
      <c r="F12" s="22">
        <f>CHOOSE($C$3,C12,D12,E12)</f>
        <v/>
      </c>
      <c r="G12" s="4" t="inlineStr">
        <is>
          <t>Actual: £34.73–£35 realised fee (Project Overview v0.2, Finance)</t>
        </is>
      </c>
    </row>
    <row r="13">
      <c r="A13" s="2" t="inlineStr">
        <is>
          <t>Members adding a 2nd weekly session</t>
        </is>
      </c>
      <c r="B13" s="2" t="inlineStr">
        <is>
          <t>% of members</t>
        </is>
      </c>
      <c r="C13" s="23" t="n">
        <v>0.15</v>
      </c>
      <c r="D13" s="23" t="n">
        <v>0.2</v>
      </c>
      <c r="E13" s="23" t="n">
        <v>0.25</v>
      </c>
      <c r="F13" s="24">
        <f>CHOOSE($C$3,C13,D13,E13)</f>
        <v/>
      </c>
      <c r="G13" s="4" t="inlineStr">
        <is>
          <t>Desk estimate (HHOS 2.0 suggests about a third on multi-session plans)</t>
        </is>
      </c>
    </row>
    <row r="14">
      <c r="A14" s="2" t="inlineStr">
        <is>
          <t>2nd weekly session price</t>
        </is>
      </c>
      <c r="B14" s="2" t="inlineStr">
        <is>
          <t>£/month</t>
        </is>
      </c>
      <c r="C14" s="21" t="n">
        <v>25</v>
      </c>
      <c r="D14" s="21" t="n">
        <v>25</v>
      </c>
      <c r="E14" s="21" t="n">
        <v>25</v>
      </c>
      <c r="F14" s="22">
        <f>CHOOSE($C$3,C14,D14,E14)</f>
        <v/>
      </c>
      <c r="G14" s="4" t="inlineStr">
        <is>
          <t>Jamie, 29 Oct 2026</t>
        </is>
      </c>
    </row>
    <row r="15">
      <c r="A15" s="2" t="inlineStr">
        <is>
          <t>Members on a 3-a-week plan</t>
        </is>
      </c>
      <c r="B15" s="2" t="inlineStr">
        <is>
          <t>% of members</t>
        </is>
      </c>
      <c r="C15" s="23" t="n">
        <v>0.03</v>
      </c>
      <c r="D15" s="23" t="n">
        <v>0.05</v>
      </c>
      <c r="E15" s="23" t="n">
        <v>0.08</v>
      </c>
      <c r="F15" s="24">
        <f>CHOOSE($C$3,C15,D15,E15)</f>
        <v/>
      </c>
      <c r="G15" s="4" t="inlineStr">
        <is>
          <t>Desk estimate</t>
        </is>
      </c>
    </row>
    <row r="16">
      <c r="A16" s="2" t="inlineStr">
        <is>
          <t>3-a-week plan price, on top of the membership</t>
        </is>
      </c>
      <c r="B16" s="2" t="inlineStr">
        <is>
          <t>£/month</t>
        </is>
      </c>
      <c r="C16" s="21" t="n">
        <v>40</v>
      </c>
      <c r="D16" s="21" t="n">
        <v>40</v>
      </c>
      <c r="E16" s="21" t="n">
        <v>40</v>
      </c>
      <c r="F16" s="22">
        <f>CHOOSE($C$3,C16,D16,E16)</f>
        <v/>
      </c>
      <c r="G16" s="4" t="inlineStr">
        <is>
          <t>Jamie, 29 Oct 2026</t>
        </is>
      </c>
    </row>
    <row r="17">
      <c r="A17" s="2" t="inlineStr">
        <is>
          <t>Joining fee per new member</t>
        </is>
      </c>
      <c r="B17" s="2" t="inlineStr">
        <is>
          <t>£</t>
        </is>
      </c>
      <c r="C17" s="25" t="n">
        <v>45</v>
      </c>
      <c r="D17" s="25" t="n">
        <v>45</v>
      </c>
      <c r="E17" s="25" t="n">
        <v>45</v>
      </c>
      <c r="F17" s="13">
        <f>CHOOSE($C$3,C17,D17,E17)</f>
        <v/>
      </c>
      <c r="G17" s="4" t="inlineStr">
        <is>
          <t>Jamie, 29 Oct 2026. Families moving in from today's classes don't pay it</t>
        </is>
      </c>
    </row>
    <row r="18">
      <c r="A18" s="2" t="inlineStr">
        <is>
          <t>Members leaving each month (replaced by new joiners)</t>
        </is>
      </c>
      <c r="B18" s="2" t="inlineStr">
        <is>
          <t>% a month</t>
        </is>
      </c>
      <c r="C18" s="23" t="n">
        <v>0.025</v>
      </c>
      <c r="D18" s="23" t="n">
        <v>0.025</v>
      </c>
      <c r="E18" s="23" t="n">
        <v>0.025</v>
      </c>
      <c r="F18" s="24">
        <f>CHOOSE($C$3,C18,D18,E18)</f>
        <v/>
      </c>
      <c r="G18" s="4" t="inlineStr">
        <is>
          <t>Desk estimate; to replace with TeamUp actuals</t>
        </is>
      </c>
    </row>
    <row r="19">
      <c r="A19" s="2" t="inlineStr">
        <is>
          <t>Average children per class</t>
        </is>
      </c>
      <c r="B19" s="2" t="inlineStr">
        <is>
          <t>children</t>
        </is>
      </c>
      <c r="C19" s="19" t="n">
        <v>18</v>
      </c>
      <c r="D19" s="19" t="n">
        <v>18</v>
      </c>
      <c r="E19" s="19" t="n">
        <v>18</v>
      </c>
      <c r="F19" s="20">
        <f>CHOOSE($C$3,C19,D19,E19)</f>
        <v/>
      </c>
      <c r="G19" s="4" t="inlineStr">
        <is>
          <t>Actual: 140 bookings across 8 classes (TeamUp, 26 Oct 2026); class cap placeholder 20</t>
        </is>
      </c>
    </row>
    <row r="20">
      <c r="A20" s="2" t="inlineStr">
        <is>
          <t>Coaching weeks a year (classes)</t>
        </is>
      </c>
      <c r="B20" s="2" t="inlineStr">
        <is>
          <t>weeks</t>
        </is>
      </c>
      <c r="C20" s="19" t="n">
        <v>39</v>
      </c>
      <c r="D20" s="19" t="n">
        <v>39</v>
      </c>
      <c r="E20" s="19" t="n">
        <v>39</v>
      </c>
      <c r="F20" s="20">
        <f>CHOOSE($C$3,C20,D20,E20)</f>
        <v/>
      </c>
      <c r="G20" s="4" t="inlineStr">
        <is>
          <t>Actual: halls booked 39 weeks a year (Court Hub vs hall hire v0.1)</t>
        </is>
      </c>
    </row>
    <row r="21">
      <c r="A21" s="2" t="inlineStr">
        <is>
          <t>Flat Rate VAT on sales</t>
        </is>
      </c>
      <c r="B21" s="2" t="inlineStr">
        <is>
          <t>% of gross</t>
        </is>
      </c>
      <c r="C21" s="23" t="n">
        <v>0.08500000000000001</v>
      </c>
      <c r="D21" s="23" t="n">
        <v>0.08500000000000001</v>
      </c>
      <c r="E21" s="23" t="n">
        <v>0.08500000000000001</v>
      </c>
      <c r="F21" s="24">
        <f>CHOOSE($C$3,C21,D21,E21)</f>
        <v/>
      </c>
      <c r="G21" s="4" t="inlineStr">
        <is>
          <t>Desk estimate: FRS rate for sport/leisure; HHR1 is on the FRS (Jamie, 26 Oct). Confirm with the accountant</t>
        </is>
      </c>
    </row>
    <row r="22">
      <c r="A22" s="2" t="inlineStr">
        <is>
          <t>Card and payment fees</t>
        </is>
      </c>
      <c r="B22" s="2" t="inlineStr">
        <is>
          <t>% of sales</t>
        </is>
      </c>
      <c r="C22" s="23" t="n">
        <v>0.02</v>
      </c>
      <c r="D22" s="23" t="n">
        <v>0.02</v>
      </c>
      <c r="E22" s="23" t="n">
        <v>0.02</v>
      </c>
      <c r="F22" s="24">
        <f>CHOOSE($C$3,C22,D22,E22)</f>
        <v/>
      </c>
      <c r="G22" s="4" t="inlineStr">
        <is>
          <t>Desk estimate (Stripe)</t>
        </is>
      </c>
    </row>
    <row r="23">
      <c r="A23" s="9" t="inlineStr">
        <is>
          <t>Coaching (one head coach + one assistant per session)</t>
        </is>
      </c>
      <c r="B23" s="16" t="n"/>
      <c r="C23" s="16" t="n"/>
      <c r="D23" s="16" t="n"/>
      <c r="E23" s="16" t="n"/>
      <c r="F23" s="16" t="n"/>
      <c r="G23" s="16" t="n"/>
    </row>
    <row r="24">
      <c r="A24" s="2" t="inlineStr">
        <is>
          <t>Head coach pay</t>
        </is>
      </c>
      <c r="B24" s="2" t="inlineStr">
        <is>
          <t>£/hour</t>
        </is>
      </c>
      <c r="C24" s="21" t="n">
        <v>25</v>
      </c>
      <c r="D24" s="21" t="n">
        <v>25</v>
      </c>
      <c r="E24" s="21" t="n">
        <v>25</v>
      </c>
      <c r="F24" s="22">
        <f>CHOOSE($C$3,C24,D24,E24)</f>
        <v/>
      </c>
      <c r="G24" s="4" t="inlineStr">
        <is>
          <t>Jamie, 29 Oct 2026</t>
        </is>
      </c>
    </row>
    <row r="25">
      <c r="A25" s="2" t="inlineStr">
        <is>
          <t>Assistant coach pay</t>
        </is>
      </c>
      <c r="B25" s="2" t="inlineStr">
        <is>
          <t>£/hour</t>
        </is>
      </c>
      <c r="C25" s="21" t="n">
        <v>15</v>
      </c>
      <c r="D25" s="21" t="n">
        <v>15</v>
      </c>
      <c r="E25" s="21" t="n">
        <v>15</v>
      </c>
      <c r="F25" s="22">
        <f>CHOOSE($C$3,C25,D25,E25)</f>
        <v/>
      </c>
      <c r="G25" s="4" t="inlineStr">
        <is>
          <t>Jamie, 29 Oct 2026</t>
        </is>
      </c>
    </row>
    <row r="26">
      <c r="A26" s="2" t="inlineStr">
        <is>
          <t>Paid hours per 1-hour session</t>
        </is>
      </c>
      <c r="B26" s="2" t="inlineStr">
        <is>
          <t>hours</t>
        </is>
      </c>
      <c r="C26" s="26" t="n">
        <v>1.25</v>
      </c>
      <c r="D26" s="26" t="n">
        <v>1.25</v>
      </c>
      <c r="E26" s="26" t="n">
        <v>1.25</v>
      </c>
      <c r="F26" s="27">
        <f>CHOOSE($C$3,C26,D26,E26)</f>
        <v/>
      </c>
      <c r="G26" s="4" t="inlineStr">
        <is>
          <t>Desk estimate: includes set-up and pack-down</t>
        </is>
      </c>
    </row>
    <row r="27">
      <c r="A27" s="2" t="inlineStr">
        <is>
          <t>Employer on-costs (holiday pay, NI)</t>
        </is>
      </c>
      <c r="B27" s="2" t="inlineStr">
        <is>
          <t>% of pay</t>
        </is>
      </c>
      <c r="C27" s="23" t="n">
        <v>0.1</v>
      </c>
      <c r="D27" s="23" t="n">
        <v>0.1</v>
      </c>
      <c r="E27" s="23" t="n">
        <v>0.1</v>
      </c>
      <c r="F27" s="24">
        <f>CHOOSE($C$3,C27,D27,E27)</f>
        <v/>
      </c>
      <c r="G27" s="4" t="inlineStr">
        <is>
          <t>Desk estimate; confirm with Finance</t>
        </is>
      </c>
    </row>
    <row r="28">
      <c r="A28" s="2" t="inlineStr">
        <is>
          <t>Cost of one coached session</t>
        </is>
      </c>
      <c r="B28" s="2" t="inlineStr">
        <is>
          <t>£/session</t>
        </is>
      </c>
      <c r="C28" s="28">
        <f>(C24+C25)*C26*(1+C27)</f>
        <v/>
      </c>
      <c r="D28" s="28">
        <f>(D24+D25)*D26*(1+D27)</f>
        <v/>
      </c>
      <c r="E28" s="28">
        <f>(E24+E25)*E26*(1+E27)</f>
        <v/>
      </c>
      <c r="F28" s="22">
        <f>(F24+F25)*F26*(1+F27)</f>
        <v/>
      </c>
      <c r="G28" s="4" t="inlineStr">
        <is>
          <t>Formula</t>
        </is>
      </c>
    </row>
    <row r="29">
      <c r="A29" s="2" t="inlineStr">
        <is>
          <t>Court hours we can use a week (outside the school day)</t>
        </is>
      </c>
      <c r="B29" s="2" t="inlineStr">
        <is>
          <t>hours</t>
        </is>
      </c>
      <c r="C29" s="19" t="n">
        <v>45</v>
      </c>
      <c r="D29" s="19" t="n">
        <v>45</v>
      </c>
      <c r="E29" s="19" t="n">
        <v>45</v>
      </c>
      <c r="F29" s="20">
        <f>CHOOSE($C$3,C29,D29,E29)</f>
        <v/>
      </c>
      <c r="G29" s="4" t="inlineStr">
        <is>
          <t>Desk estimate: weekdays 3:30–8:30pm (25) + weekends 9am–7pm (20). Today: 3 hours a week in halls</t>
        </is>
      </c>
    </row>
    <row r="30">
      <c r="A30" s="9" t="inlineStr">
        <is>
          <t>Birthday parties</t>
        </is>
      </c>
      <c r="B30" s="16" t="n"/>
      <c r="C30" s="16" t="n"/>
      <c r="D30" s="16" t="n"/>
      <c r="E30" s="16" t="n"/>
      <c r="F30" s="16" t="n"/>
      <c r="G30" s="16" t="n"/>
    </row>
    <row r="31">
      <c r="A31" s="2" t="inlineStr">
        <is>
          <t>Party price</t>
        </is>
      </c>
      <c r="B31" s="2" t="inlineStr">
        <is>
          <t>£/party</t>
        </is>
      </c>
      <c r="C31" s="25" t="n">
        <v>225</v>
      </c>
      <c r="D31" s="25" t="n">
        <v>225</v>
      </c>
      <c r="E31" s="25" t="n">
        <v>225</v>
      </c>
      <c r="F31" s="13">
        <f>CHOOSE($C$3,C31,D31,E31)</f>
        <v/>
      </c>
      <c r="G31" s="4" t="inlineStr">
        <is>
          <t>Jamie, 29 Oct 2026 (about 90 minutes, up to 20 children)</t>
        </is>
      </c>
    </row>
    <row r="32">
      <c r="A32" s="2" t="inlineStr">
        <is>
          <t>Parties a week, Year 1</t>
        </is>
      </c>
      <c r="B32" s="2" t="inlineStr">
        <is>
          <t>parties</t>
        </is>
      </c>
      <c r="C32" s="19" t="n">
        <v>0.5</v>
      </c>
      <c r="D32" s="19" t="n">
        <v>1</v>
      </c>
      <c r="E32" s="19" t="n">
        <v>1.5</v>
      </c>
      <c r="F32" s="20">
        <f>CHOOSE($C$3,C32,D32,E32)</f>
        <v/>
      </c>
      <c r="G32" s="4" t="inlineStr">
        <is>
          <t>Desk estimate</t>
        </is>
      </c>
    </row>
    <row r="33">
      <c r="A33" s="2" t="inlineStr">
        <is>
          <t>Parties a week, Year 2</t>
        </is>
      </c>
      <c r="B33" s="2" t="inlineStr">
        <is>
          <t>parties</t>
        </is>
      </c>
      <c r="C33" s="19" t="n">
        <v>1</v>
      </c>
      <c r="D33" s="19" t="n">
        <v>1.5</v>
      </c>
      <c r="E33" s="19" t="n">
        <v>2.5</v>
      </c>
      <c r="F33" s="20">
        <f>CHOOSE($C$3,C33,D33,E33)</f>
        <v/>
      </c>
      <c r="G33" s="4" t="inlineStr">
        <is>
          <t>Desk estimate</t>
        </is>
      </c>
    </row>
    <row r="34">
      <c r="A34" s="2" t="inlineStr">
        <is>
          <t>Parties a week, Year 3</t>
        </is>
      </c>
      <c r="B34" s="2" t="inlineStr">
        <is>
          <t>parties</t>
        </is>
      </c>
      <c r="C34" s="19" t="n">
        <v>1</v>
      </c>
      <c r="D34" s="19" t="n">
        <v>2</v>
      </c>
      <c r="E34" s="19" t="n">
        <v>3.5</v>
      </c>
      <c r="F34" s="20">
        <f>CHOOSE($C$3,C34,D34,E34)</f>
        <v/>
      </c>
      <c r="G34" s="4" t="inlineStr">
        <is>
          <t>Desk estimate</t>
        </is>
      </c>
    </row>
    <row r="35">
      <c r="A35" s="2" t="inlineStr">
        <is>
          <t>Staff hours per party (both coaches)</t>
        </is>
      </c>
      <c r="B35" s="2" t="inlineStr">
        <is>
          <t>hours</t>
        </is>
      </c>
      <c r="C35" s="26" t="n">
        <v>2</v>
      </c>
      <c r="D35" s="26" t="n">
        <v>2</v>
      </c>
      <c r="E35" s="26" t="n">
        <v>2</v>
      </c>
      <c r="F35" s="27">
        <f>CHOOSE($C$3,C35,D35,E35)</f>
        <v/>
      </c>
      <c r="G35" s="4" t="inlineStr">
        <is>
          <t>Desk estimate</t>
        </is>
      </c>
    </row>
    <row r="36">
      <c r="A36" s="2" t="inlineStr">
        <is>
          <t>Party extras (medals, kit, cleaning)</t>
        </is>
      </c>
      <c r="B36" s="2" t="inlineStr">
        <is>
          <t>£/party</t>
        </is>
      </c>
      <c r="C36" s="25" t="n">
        <v>25</v>
      </c>
      <c r="D36" s="25" t="n">
        <v>25</v>
      </c>
      <c r="E36" s="25" t="n">
        <v>25</v>
      </c>
      <c r="F36" s="13">
        <f>CHOOSE($C$3,C36,D36,E36)</f>
        <v/>
      </c>
      <c r="G36" s="4" t="inlineStr">
        <is>
          <t>Desk estimate</t>
        </is>
      </c>
    </row>
    <row r="37">
      <c r="A37" s="2" t="inlineStr">
        <is>
          <t>Court time per party</t>
        </is>
      </c>
      <c r="B37" s="2" t="inlineStr">
        <is>
          <t>hours</t>
        </is>
      </c>
      <c r="C37" s="26" t="n">
        <v>1.5</v>
      </c>
      <c r="D37" s="26" t="n">
        <v>1.5</v>
      </c>
      <c r="E37" s="26" t="n">
        <v>1.5</v>
      </c>
      <c r="F37" s="27">
        <f>CHOOSE($C$3,C37,D37,E37)</f>
        <v/>
      </c>
      <c r="G37" s="4" t="inlineStr">
        <is>
          <t>Desk estimate</t>
        </is>
      </c>
    </row>
    <row r="38">
      <c r="A38" s="9" t="inlineStr">
        <is>
          <t>3x3 tournaments (one-day events, like Gameday)</t>
        </is>
      </c>
      <c r="B38" s="16" t="n"/>
      <c r="C38" s="16" t="n"/>
      <c r="D38" s="16" t="n"/>
      <c r="E38" s="16" t="n"/>
      <c r="F38" s="16" t="n"/>
      <c r="G38" s="16" t="n"/>
    </row>
    <row r="39">
      <c r="A39" s="2" t="inlineStr">
        <is>
          <t>Tournaments a year, Year 1</t>
        </is>
      </c>
      <c r="B39" s="2" t="inlineStr">
        <is>
          <t>events</t>
        </is>
      </c>
      <c r="C39" s="19" t="n">
        <v>2</v>
      </c>
      <c r="D39" s="19" t="n">
        <v>3</v>
      </c>
      <c r="E39" s="19" t="n">
        <v>4</v>
      </c>
      <c r="F39" s="20">
        <f>CHOOSE($C$3,C39,D39,E39)</f>
        <v/>
      </c>
      <c r="G39" s="4" t="inlineStr">
        <is>
          <t>Desk estimate</t>
        </is>
      </c>
    </row>
    <row r="40">
      <c r="A40" s="2" t="inlineStr">
        <is>
          <t>Tournaments a year, Year 2</t>
        </is>
      </c>
      <c r="B40" s="2" t="inlineStr">
        <is>
          <t>events</t>
        </is>
      </c>
      <c r="C40" s="19" t="n">
        <v>3</v>
      </c>
      <c r="D40" s="19" t="n">
        <v>5</v>
      </c>
      <c r="E40" s="19" t="n">
        <v>6</v>
      </c>
      <c r="F40" s="20">
        <f>CHOOSE($C$3,C40,D40,E40)</f>
        <v/>
      </c>
      <c r="G40" s="4" t="inlineStr">
        <is>
          <t>Desk estimate</t>
        </is>
      </c>
    </row>
    <row r="41">
      <c r="A41" s="2" t="inlineStr">
        <is>
          <t>Tournaments a year, Year 3</t>
        </is>
      </c>
      <c r="B41" s="2" t="inlineStr">
        <is>
          <t>events</t>
        </is>
      </c>
      <c r="C41" s="19" t="n">
        <v>4</v>
      </c>
      <c r="D41" s="19" t="n">
        <v>6</v>
      </c>
      <c r="E41" s="19" t="n">
        <v>8</v>
      </c>
      <c r="F41" s="20">
        <f>CHOOSE($C$3,C41,D41,E41)</f>
        <v/>
      </c>
      <c r="G41" s="4" t="inlineStr">
        <is>
          <t>Desk estimate</t>
        </is>
      </c>
    </row>
    <row r="42">
      <c r="A42" s="2" t="inlineStr">
        <is>
          <t>Players per tournament</t>
        </is>
      </c>
      <c r="B42" s="2" t="inlineStr">
        <is>
          <t>players</t>
        </is>
      </c>
      <c r="C42" s="19" t="n">
        <v>24</v>
      </c>
      <c r="D42" s="19" t="n">
        <v>32</v>
      </c>
      <c r="E42" s="19" t="n">
        <v>40</v>
      </c>
      <c r="F42" s="20">
        <f>CHOOSE($C$3,C42,D42,E42)</f>
        <v/>
      </c>
      <c r="G42" s="4" t="inlineStr">
        <is>
          <t>Desk estimate (Gameday: 3 on court + 1 sub per team)</t>
        </is>
      </c>
    </row>
    <row r="43">
      <c r="A43" s="2" t="inlineStr">
        <is>
          <t>Entry fee per player</t>
        </is>
      </c>
      <c r="B43" s="2" t="inlineStr">
        <is>
          <t>£</t>
        </is>
      </c>
      <c r="C43" s="25" t="n">
        <v>30</v>
      </c>
      <c r="D43" s="25" t="n">
        <v>30</v>
      </c>
      <c r="E43" s="25" t="n">
        <v>30</v>
      </c>
      <c r="F43" s="13">
        <f>CHOOSE($C$3,C43,D43,E43)</f>
        <v/>
      </c>
      <c r="G43" s="4" t="inlineStr">
        <is>
          <t>Actual: 3x3 Gameday £30 per player (website, Oct 2026)</t>
        </is>
      </c>
    </row>
    <row r="44">
      <c r="A44" s="2" t="inlineStr">
        <is>
          <t>Coach hours per tournament (all staff)</t>
        </is>
      </c>
      <c r="B44" s="2" t="inlineStr">
        <is>
          <t>hours</t>
        </is>
      </c>
      <c r="C44" s="26" t="n">
        <v>12</v>
      </c>
      <c r="D44" s="26" t="n">
        <v>12</v>
      </c>
      <c r="E44" s="26" t="n">
        <v>12</v>
      </c>
      <c r="F44" s="27">
        <f>CHOOSE($C$3,C44,D44,E44)</f>
        <v/>
      </c>
      <c r="G44" s="4" t="inlineStr">
        <is>
          <t>Desk estimate: 2 head + 2 assistant coaches for 3 hours</t>
        </is>
      </c>
    </row>
    <row r="45">
      <c r="A45" s="2" t="inlineStr">
        <is>
          <t>Medals and extras per player</t>
        </is>
      </c>
      <c r="B45" s="2" t="inlineStr">
        <is>
          <t>£</t>
        </is>
      </c>
      <c r="C45" s="25" t="n">
        <v>4</v>
      </c>
      <c r="D45" s="25" t="n">
        <v>4</v>
      </c>
      <c r="E45" s="25" t="n">
        <v>4</v>
      </c>
      <c r="F45" s="13">
        <f>CHOOSE($C$3,C45,D45,E45)</f>
        <v/>
      </c>
      <c r="G45" s="4" t="inlineStr">
        <is>
          <t>Desk estimate</t>
        </is>
      </c>
    </row>
    <row r="46">
      <c r="A46" s="9" t="inlineStr">
        <is>
          <t>Holiday camps</t>
        </is>
      </c>
      <c r="B46" s="16" t="n"/>
      <c r="C46" s="16" t="n"/>
      <c r="D46" s="16" t="n"/>
      <c r="E46" s="16" t="n"/>
      <c r="F46" s="16" t="n"/>
      <c r="G46" s="16" t="n"/>
    </row>
    <row r="47">
      <c r="A47" s="2" t="inlineStr">
        <is>
          <t>Camp price</t>
        </is>
      </c>
      <c r="B47" s="2" t="inlineStr">
        <is>
          <t>£/child/day</t>
        </is>
      </c>
      <c r="C47" s="25" t="n">
        <v>35</v>
      </c>
      <c r="D47" s="25" t="n">
        <v>35</v>
      </c>
      <c r="E47" s="25" t="n">
        <v>35</v>
      </c>
      <c r="F47" s="13">
        <f>CHOOSE($C$3,C47,D47,E47)</f>
        <v/>
      </c>
      <c r="G47" s="4" t="inlineStr">
        <is>
          <t>Jamie, 29 Oct 2026 (9am to 3pm)</t>
        </is>
      </c>
    </row>
    <row r="48">
      <c r="A48" s="2" t="inlineStr">
        <is>
          <t>Share of holiday weeks we run, Year 1</t>
        </is>
      </c>
      <c r="B48" s="2" t="inlineStr">
        <is>
          <t>% of 13 weeks</t>
        </is>
      </c>
      <c r="C48" s="23" t="n">
        <v>0.4</v>
      </c>
      <c r="D48" s="23" t="n">
        <v>0.5</v>
      </c>
      <c r="E48" s="23" t="n">
        <v>0.6</v>
      </c>
      <c r="F48" s="24">
        <f>CHOOSE($C$3,C48,D48,E48)</f>
        <v/>
      </c>
      <c r="G48" s="4" t="inlineStr">
        <is>
          <t>Desk estimate</t>
        </is>
      </c>
    </row>
    <row r="49">
      <c r="A49" s="2" t="inlineStr">
        <is>
          <t>Share of holiday weeks we run, Year 2</t>
        </is>
      </c>
      <c r="B49" s="2" t="inlineStr">
        <is>
          <t>% of 13 weeks</t>
        </is>
      </c>
      <c r="C49" s="23" t="n">
        <v>0.6</v>
      </c>
      <c r="D49" s="23" t="n">
        <v>0.75</v>
      </c>
      <c r="E49" s="23" t="n">
        <v>0.9</v>
      </c>
      <c r="F49" s="24">
        <f>CHOOSE($C$3,C49,D49,E49)</f>
        <v/>
      </c>
      <c r="G49" s="4" t="inlineStr">
        <is>
          <t>Desk estimate</t>
        </is>
      </c>
    </row>
    <row r="50">
      <c r="A50" s="2" t="inlineStr">
        <is>
          <t>Share of holiday weeks we run, Year 3</t>
        </is>
      </c>
      <c r="B50" s="2" t="inlineStr">
        <is>
          <t>% of 13 weeks</t>
        </is>
      </c>
      <c r="C50" s="23" t="n">
        <v>0.75</v>
      </c>
      <c r="D50" s="23" t="n">
        <v>1</v>
      </c>
      <c r="E50" s="23" t="n">
        <v>1</v>
      </c>
      <c r="F50" s="24">
        <f>CHOOSE($C$3,C50,D50,E50)</f>
        <v/>
      </c>
      <c r="G50" s="4" t="inlineStr">
        <is>
          <t>Desk estimate</t>
        </is>
      </c>
    </row>
    <row r="51">
      <c r="A51" s="2" t="inlineStr">
        <is>
          <t>Paying campers a day, Year 1</t>
        </is>
      </c>
      <c r="B51" s="2" t="inlineStr">
        <is>
          <t>children</t>
        </is>
      </c>
      <c r="C51" s="19" t="n">
        <v>12</v>
      </c>
      <c r="D51" s="19" t="n">
        <v>16</v>
      </c>
      <c r="E51" s="19" t="n">
        <v>20</v>
      </c>
      <c r="F51" s="20">
        <f>CHOOSE($C$3,C51,D51,E51)</f>
        <v/>
      </c>
      <c r="G51" s="4" t="inlineStr">
        <is>
          <t>Desk estimate</t>
        </is>
      </c>
    </row>
    <row r="52">
      <c r="A52" s="2" t="inlineStr">
        <is>
          <t>Paying campers a day, Year 2</t>
        </is>
      </c>
      <c r="B52" s="2" t="inlineStr">
        <is>
          <t>children</t>
        </is>
      </c>
      <c r="C52" s="19" t="n">
        <v>16</v>
      </c>
      <c r="D52" s="19" t="n">
        <v>20</v>
      </c>
      <c r="E52" s="19" t="n">
        <v>28</v>
      </c>
      <c r="F52" s="20">
        <f>CHOOSE($C$3,C52,D52,E52)</f>
        <v/>
      </c>
      <c r="G52" s="4" t="inlineStr">
        <is>
          <t>Desk estimate</t>
        </is>
      </c>
    </row>
    <row r="53">
      <c r="A53" s="2" t="inlineStr">
        <is>
          <t>Paying campers a day, Year 3</t>
        </is>
      </c>
      <c r="B53" s="2" t="inlineStr">
        <is>
          <t>children</t>
        </is>
      </c>
      <c r="C53" s="19" t="n">
        <v>18</v>
      </c>
      <c r="D53" s="19" t="n">
        <v>24</v>
      </c>
      <c r="E53" s="19" t="n">
        <v>36</v>
      </c>
      <c r="F53" s="20">
        <f>CHOOSE($C$3,C53,D53,E53)</f>
        <v/>
      </c>
      <c r="G53" s="4" t="inlineStr">
        <is>
          <t>Desk estimate</t>
        </is>
      </c>
    </row>
    <row r="54">
      <c r="A54" s="2" t="inlineStr">
        <is>
          <t>Children per coach at camp</t>
        </is>
      </c>
      <c r="B54" s="2" t="inlineStr">
        <is>
          <t>children</t>
        </is>
      </c>
      <c r="C54" s="19" t="n">
        <v>12</v>
      </c>
      <c r="D54" s="19" t="n">
        <v>12</v>
      </c>
      <c r="E54" s="19" t="n">
        <v>12</v>
      </c>
      <c r="F54" s="20">
        <f>CHOOSE($C$3,C54,D54,E54)</f>
        <v/>
      </c>
      <c r="G54" s="4" t="inlineStr">
        <is>
          <t>Desk estimate</t>
        </is>
      </c>
    </row>
    <row r="55">
      <c r="A55" s="2" t="inlineStr">
        <is>
          <t>Staff hours per camp day</t>
        </is>
      </c>
      <c r="B55" s="2" t="inlineStr">
        <is>
          <t>hours</t>
        </is>
      </c>
      <c r="C55" s="26" t="n">
        <v>7</v>
      </c>
      <c r="D55" s="26" t="n">
        <v>7</v>
      </c>
      <c r="E55" s="26" t="n">
        <v>7</v>
      </c>
      <c r="F55" s="27">
        <f>CHOOSE($C$3,C55,D55,E55)</f>
        <v/>
      </c>
      <c r="G55" s="4" t="inlineStr">
        <is>
          <t>Desk estimate (9am to 3pm plus set-up)</t>
        </is>
      </c>
    </row>
    <row r="56">
      <c r="A56" s="2" t="inlineStr">
        <is>
          <t>Average coach rate at camp</t>
        </is>
      </c>
      <c r="B56" s="2" t="inlineStr">
        <is>
          <t>£/hour</t>
        </is>
      </c>
      <c r="C56" s="28">
        <f>(C24+C25)/2*(1+C27)</f>
        <v/>
      </c>
      <c r="D56" s="28">
        <f>(D24+D25)/2*(1+D27)</f>
        <v/>
      </c>
      <c r="E56" s="28">
        <f>(E24+E25)/2*(1+E27)</f>
        <v/>
      </c>
      <c r="F56" s="22">
        <f>(F24+F25)/2*(1+F27)</f>
        <v/>
      </c>
      <c r="G56" s="4" t="inlineStr">
        <is>
          <t>Formula</t>
        </is>
      </c>
    </row>
    <row r="57">
      <c r="A57" s="9" t="inlineStr">
        <is>
          <t>Funded holiday places (Holiday Activities and Food programme)</t>
        </is>
      </c>
      <c r="B57" s="16" t="n"/>
      <c r="C57" s="16" t="n"/>
      <c r="D57" s="16" t="n"/>
      <c r="E57" s="16" t="n"/>
      <c r="F57" s="16" t="n"/>
      <c r="G57" s="16" t="n"/>
    </row>
    <row r="58">
      <c r="A58" s="2" t="inlineStr">
        <is>
          <t>Funded places a day, Year 1</t>
        </is>
      </c>
      <c r="B58" s="2" t="inlineStr">
        <is>
          <t>children</t>
        </is>
      </c>
      <c r="C58" s="19" t="n">
        <v>0</v>
      </c>
      <c r="D58" s="19" t="n">
        <v>10</v>
      </c>
      <c r="E58" s="19" t="n">
        <v>15</v>
      </c>
      <c r="F58" s="20">
        <f>CHOOSE($C$3,C58,D58,E58)</f>
        <v/>
      </c>
      <c r="G58" s="4" t="inlineStr">
        <is>
          <t>Desk estimate; needs approval as a Bucks HAF provider</t>
        </is>
      </c>
    </row>
    <row r="59">
      <c r="A59" s="2" t="inlineStr">
        <is>
          <t>Funded places a day, Year 2</t>
        </is>
      </c>
      <c r="B59" s="2" t="inlineStr">
        <is>
          <t>children</t>
        </is>
      </c>
      <c r="C59" s="19" t="n">
        <v>10</v>
      </c>
      <c r="D59" s="19" t="n">
        <v>15</v>
      </c>
      <c r="E59" s="19" t="n">
        <v>20</v>
      </c>
      <c r="F59" s="20">
        <f>CHOOSE($C$3,C59,D59,E59)</f>
        <v/>
      </c>
      <c r="G59" s="4" t="inlineStr">
        <is>
          <t>Desk estimate</t>
        </is>
      </c>
    </row>
    <row r="60">
      <c r="A60" s="2" t="inlineStr">
        <is>
          <t>Funded places a day, Year 3</t>
        </is>
      </c>
      <c r="B60" s="2" t="inlineStr">
        <is>
          <t>children</t>
        </is>
      </c>
      <c r="C60" s="19" t="n">
        <v>10</v>
      </c>
      <c r="D60" s="19" t="n">
        <v>20</v>
      </c>
      <c r="E60" s="19" t="n">
        <v>25</v>
      </c>
      <c r="F60" s="20">
        <f>CHOOSE($C$3,C60,D60,E60)</f>
        <v/>
      </c>
      <c r="G60" s="4" t="inlineStr">
        <is>
          <t>Desk estimate</t>
        </is>
      </c>
    </row>
    <row r="61">
      <c r="A61" s="2" t="inlineStr">
        <is>
          <t>HAF payment per place per day</t>
        </is>
      </c>
      <c r="B61" s="2" t="inlineStr">
        <is>
          <t>£</t>
        </is>
      </c>
      <c r="C61" s="25" t="n">
        <v>25</v>
      </c>
      <c r="D61" s="25" t="n">
        <v>25</v>
      </c>
      <c r="E61" s="25" t="n">
        <v>25</v>
      </c>
      <c r="F61" s="13">
        <f>CHOOSE($C$3,C61,D61,E61)</f>
        <v/>
      </c>
      <c r="G61" s="4" t="inlineStr">
        <is>
          <t>Desk estimate: to verify with Buckinghamshire Council HAF</t>
        </is>
      </c>
    </row>
    <row r="62">
      <c r="A62" s="2" t="inlineStr">
        <is>
          <t>HAF days per HAF week</t>
        </is>
      </c>
      <c r="B62" s="2" t="inlineStr">
        <is>
          <t>days</t>
        </is>
      </c>
      <c r="C62" s="19" t="n">
        <v>4</v>
      </c>
      <c r="D62" s="19" t="n">
        <v>4</v>
      </c>
      <c r="E62" s="19" t="n">
        <v>4</v>
      </c>
      <c r="F62" s="20">
        <f>CHOOSE($C$3,C62,D62,E62)</f>
        <v/>
      </c>
      <c r="G62" s="4" t="inlineStr">
        <is>
          <t>Desk estimate (HAF runs 4 days a week)</t>
        </is>
      </c>
    </row>
    <row r="63">
      <c r="A63" s="2" t="inlineStr">
        <is>
          <t>Food and extra cost per HAF place per day</t>
        </is>
      </c>
      <c r="B63" s="2" t="inlineStr">
        <is>
          <t>£</t>
        </is>
      </c>
      <c r="C63" s="25" t="n">
        <v>8</v>
      </c>
      <c r="D63" s="25" t="n">
        <v>8</v>
      </c>
      <c r="E63" s="25" t="n">
        <v>8</v>
      </c>
      <c r="F63" s="13">
        <f>CHOOSE($C$3,C63,D63,E63)</f>
        <v/>
      </c>
      <c r="G63" s="4" t="inlineStr">
        <is>
          <t>Desk estimate</t>
        </is>
      </c>
    </row>
    <row r="64">
      <c r="A64" s="9" t="inlineStr">
        <is>
          <t>Breakfast All Stars (before school)</t>
        </is>
      </c>
      <c r="B64" s="16" t="n"/>
      <c r="C64" s="16" t="n"/>
      <c r="D64" s="16" t="n"/>
      <c r="E64" s="16" t="n"/>
      <c r="F64" s="16" t="n"/>
      <c r="G64" s="16" t="n"/>
    </row>
    <row r="65">
      <c r="A65" s="2" t="inlineStr">
        <is>
          <t>Price per morning</t>
        </is>
      </c>
      <c r="B65" s="2" t="inlineStr">
        <is>
          <t>£/child</t>
        </is>
      </c>
      <c r="C65" s="21" t="n">
        <v>7</v>
      </c>
      <c r="D65" s="21" t="n">
        <v>7</v>
      </c>
      <c r="E65" s="21" t="n">
        <v>7</v>
      </c>
      <c r="F65" s="22">
        <f>CHOOSE($C$3,C65,D65,E65)</f>
        <v/>
      </c>
      <c r="G65" s="4" t="inlineStr">
        <is>
          <t>Desk estimate</t>
        </is>
      </c>
    </row>
    <row r="66">
      <c r="A66" s="2" t="inlineStr">
        <is>
          <t>Mornings a week</t>
        </is>
      </c>
      <c r="B66" s="2" t="inlineStr">
        <is>
          <t>mornings</t>
        </is>
      </c>
      <c r="C66" s="19" t="n">
        <v>5</v>
      </c>
      <c r="D66" s="19" t="n">
        <v>5</v>
      </c>
      <c r="E66" s="19" t="n">
        <v>5</v>
      </c>
      <c r="F66" s="20">
        <f>CHOOSE($C$3,C66,D66,E66)</f>
        <v/>
      </c>
      <c r="G66" s="4" t="inlineStr">
        <is>
          <t>Example week in the schools deck</t>
        </is>
      </c>
    </row>
    <row r="67">
      <c r="A67" s="2" t="inlineStr">
        <is>
          <t>Children per morning, Year 1</t>
        </is>
      </c>
      <c r="B67" s="2" t="inlineStr">
        <is>
          <t>children</t>
        </is>
      </c>
      <c r="C67" s="19" t="n">
        <v>6</v>
      </c>
      <c r="D67" s="19" t="n">
        <v>8</v>
      </c>
      <c r="E67" s="19" t="n">
        <v>10</v>
      </c>
      <c r="F67" s="20">
        <f>CHOOSE($C$3,C67,D67,E67)</f>
        <v/>
      </c>
      <c r="G67" s="4" t="inlineStr">
        <is>
          <t>Desk estimate</t>
        </is>
      </c>
    </row>
    <row r="68">
      <c r="A68" s="2" t="inlineStr">
        <is>
          <t>Children per morning, Year 2</t>
        </is>
      </c>
      <c r="B68" s="2" t="inlineStr">
        <is>
          <t>children</t>
        </is>
      </c>
      <c r="C68" s="19" t="n">
        <v>8</v>
      </c>
      <c r="D68" s="19" t="n">
        <v>12</v>
      </c>
      <c r="E68" s="19" t="n">
        <v>15</v>
      </c>
      <c r="F68" s="20">
        <f>CHOOSE($C$3,C68,D68,E68)</f>
        <v/>
      </c>
      <c r="G68" s="4" t="inlineStr">
        <is>
          <t>Desk estimate</t>
        </is>
      </c>
    </row>
    <row r="69">
      <c r="A69" s="2" t="inlineStr">
        <is>
          <t>Children per morning, Year 3</t>
        </is>
      </c>
      <c r="B69" s="2" t="inlineStr">
        <is>
          <t>children</t>
        </is>
      </c>
      <c r="C69" s="19" t="n">
        <v>10</v>
      </c>
      <c r="D69" s="19" t="n">
        <v>14</v>
      </c>
      <c r="E69" s="19" t="n">
        <v>20</v>
      </c>
      <c r="F69" s="20">
        <f>CHOOSE($C$3,C69,D69,E69)</f>
        <v/>
      </c>
      <c r="G69" s="4" t="inlineStr">
        <is>
          <t>Desk estimate</t>
        </is>
      </c>
    </row>
    <row r="70">
      <c r="A70" s="2" t="inlineStr">
        <is>
          <t>Head coach hours per morning</t>
        </is>
      </c>
      <c r="B70" s="2" t="inlineStr">
        <is>
          <t>hours</t>
        </is>
      </c>
      <c r="C70" s="26" t="n">
        <v>1.25</v>
      </c>
      <c r="D70" s="26" t="n">
        <v>1.25</v>
      </c>
      <c r="E70" s="26" t="n">
        <v>1.25</v>
      </c>
      <c r="F70" s="27">
        <f>CHOOSE($C$3,C70,D70,E70)</f>
        <v/>
      </c>
      <c r="G70" s="4" t="inlineStr">
        <is>
          <t>Desk estimate (one coach)</t>
        </is>
      </c>
    </row>
    <row r="71">
      <c r="A71" s="9" t="inlineStr">
        <is>
          <t>3x3 leagues</t>
        </is>
      </c>
      <c r="B71" s="16" t="n"/>
      <c r="C71" s="16" t="n"/>
      <c r="D71" s="16" t="n"/>
      <c r="E71" s="16" t="n"/>
      <c r="F71" s="16" t="n"/>
      <c r="G71" s="16" t="n"/>
    </row>
    <row r="72">
      <c r="A72" s="2" t="inlineStr">
        <is>
          <t>League fee per player per term</t>
        </is>
      </c>
      <c r="B72" s="2" t="inlineStr">
        <is>
          <t>£</t>
        </is>
      </c>
      <c r="C72" s="25" t="n">
        <v>60</v>
      </c>
      <c r="D72" s="25" t="n">
        <v>60</v>
      </c>
      <c r="E72" s="25" t="n">
        <v>60</v>
      </c>
      <c r="F72" s="13">
        <f>CHOOSE($C$3,C72,D72,E72)</f>
        <v/>
      </c>
      <c r="G72" s="4" t="inlineStr">
        <is>
          <t>Desk estimate</t>
        </is>
      </c>
    </row>
    <row r="73">
      <c r="A73" s="2" t="inlineStr">
        <is>
          <t>League terms a year</t>
        </is>
      </c>
      <c r="B73" s="2" t="inlineStr">
        <is>
          <t>terms</t>
        </is>
      </c>
      <c r="C73" s="19" t="n">
        <v>3</v>
      </c>
      <c r="D73" s="19" t="n">
        <v>3</v>
      </c>
      <c r="E73" s="19" t="n">
        <v>3</v>
      </c>
      <c r="F73" s="20">
        <f>CHOOSE($C$3,C73,D73,E73)</f>
        <v/>
      </c>
      <c r="G73" s="4" t="inlineStr">
        <is>
          <t>Desk estimate</t>
        </is>
      </c>
    </row>
    <row r="74">
      <c r="A74" s="2" t="inlineStr">
        <is>
          <t>League players, Year 1</t>
        </is>
      </c>
      <c r="B74" s="2" t="inlineStr">
        <is>
          <t>players</t>
        </is>
      </c>
      <c r="C74" s="19" t="n">
        <v>0</v>
      </c>
      <c r="D74" s="19" t="n">
        <v>24</v>
      </c>
      <c r="E74" s="19" t="n">
        <v>32</v>
      </c>
      <c r="F74" s="20">
        <f>CHOOSE($C$3,C74,D74,E74)</f>
        <v/>
      </c>
      <c r="G74" s="4" t="inlineStr">
        <is>
          <t>Desk estimate</t>
        </is>
      </c>
    </row>
    <row r="75">
      <c r="A75" s="2" t="inlineStr">
        <is>
          <t>League players, Year 2</t>
        </is>
      </c>
      <c r="B75" s="2" t="inlineStr">
        <is>
          <t>players</t>
        </is>
      </c>
      <c r="C75" s="19" t="n">
        <v>24</v>
      </c>
      <c r="D75" s="19" t="n">
        <v>40</v>
      </c>
      <c r="E75" s="19" t="n">
        <v>60</v>
      </c>
      <c r="F75" s="20">
        <f>CHOOSE($C$3,C75,D75,E75)</f>
        <v/>
      </c>
      <c r="G75" s="4" t="inlineStr">
        <is>
          <t>Desk estimate</t>
        </is>
      </c>
    </row>
    <row r="76">
      <c r="A76" s="2" t="inlineStr">
        <is>
          <t>League players, Year 3</t>
        </is>
      </c>
      <c r="B76" s="2" t="inlineStr">
        <is>
          <t>players</t>
        </is>
      </c>
      <c r="C76" s="19" t="n">
        <v>32</v>
      </c>
      <c r="D76" s="19" t="n">
        <v>48</v>
      </c>
      <c r="E76" s="19" t="n">
        <v>80</v>
      </c>
      <c r="F76" s="20">
        <f>CHOOSE($C$3,C76,D76,E76)</f>
        <v/>
      </c>
      <c r="G76" s="4" t="inlineStr">
        <is>
          <t>Desk estimate</t>
        </is>
      </c>
    </row>
    <row r="77">
      <c r="A77" s="2" t="inlineStr">
        <is>
          <t>League sessions a week</t>
        </is>
      </c>
      <c r="B77" s="2" t="inlineStr">
        <is>
          <t>sessions</t>
        </is>
      </c>
      <c r="C77" s="19" t="n">
        <v>2</v>
      </c>
      <c r="D77" s="19" t="n">
        <v>2</v>
      </c>
      <c r="E77" s="19" t="n">
        <v>2</v>
      </c>
      <c r="F77" s="20">
        <f>CHOOSE($C$3,C77,D77,E77)</f>
        <v/>
      </c>
      <c r="G77" s="4" t="inlineStr">
        <is>
          <t>Desk estimate</t>
        </is>
      </c>
    </row>
    <row r="78">
      <c r="A78" s="9" t="inlineStr">
        <is>
          <t>Other income</t>
        </is>
      </c>
      <c r="B78" s="16" t="n"/>
      <c r="C78" s="16" t="n"/>
      <c r="D78" s="16" t="n"/>
      <c r="E78" s="16" t="n"/>
      <c r="F78" s="16" t="n"/>
      <c r="G78" s="16" t="n"/>
    </row>
    <row r="79">
      <c r="A79" s="2" t="inlineStr">
        <is>
          <t>School PE support and CPD, Year 1</t>
        </is>
      </c>
      <c r="B79" s="2" t="inlineStr">
        <is>
          <t>£/year</t>
        </is>
      </c>
      <c r="C79" s="25" t="n">
        <v>1500</v>
      </c>
      <c r="D79" s="25" t="n">
        <v>3000</v>
      </c>
      <c r="E79" s="25" t="n">
        <v>4000</v>
      </c>
      <c r="F79" s="13">
        <f>CHOOSE($C$3,C79,D79,E79)</f>
        <v/>
      </c>
      <c r="G79" s="4" t="inlineStr">
        <is>
          <t>Desk estimate; paid by the school from its PE and Sport Premium (revenue only)</t>
        </is>
      </c>
    </row>
    <row r="80">
      <c r="A80" s="2" t="inlineStr">
        <is>
          <t>School PE support and CPD, Year 2</t>
        </is>
      </c>
      <c r="B80" s="2" t="inlineStr">
        <is>
          <t>£/year</t>
        </is>
      </c>
      <c r="C80" s="25" t="n">
        <v>2500</v>
      </c>
      <c r="D80" s="25" t="n">
        <v>4000</v>
      </c>
      <c r="E80" s="25" t="n">
        <v>6000</v>
      </c>
      <c r="F80" s="13">
        <f>CHOOSE($C$3,C80,D80,E80)</f>
        <v/>
      </c>
      <c r="G80" s="4" t="inlineStr">
        <is>
          <t>Desk estimate</t>
        </is>
      </c>
    </row>
    <row r="81">
      <c r="A81" s="2" t="inlineStr">
        <is>
          <t>School PE support and CPD, Year 3</t>
        </is>
      </c>
      <c r="B81" s="2" t="inlineStr">
        <is>
          <t>£/year</t>
        </is>
      </c>
      <c r="C81" s="25" t="n">
        <v>3000</v>
      </c>
      <c r="D81" s="25" t="n">
        <v>5000</v>
      </c>
      <c r="E81" s="25" t="n">
        <v>8000</v>
      </c>
      <c r="F81" s="13">
        <f>CHOOSE($C$3,C81,D81,E81)</f>
        <v/>
      </c>
      <c r="G81" s="4" t="inlineStr">
        <is>
          <t>Desk estimate</t>
        </is>
      </c>
    </row>
    <row r="82">
      <c r="A82" s="2" t="inlineStr">
        <is>
          <t>Hire of unused hours, Year 1</t>
        </is>
      </c>
      <c r="B82" s="2" t="inlineStr">
        <is>
          <t>£/year</t>
        </is>
      </c>
      <c r="C82" s="25" t="n">
        <v>0</v>
      </c>
      <c r="D82" s="25" t="n">
        <v>0</v>
      </c>
      <c r="E82" s="25" t="n">
        <v>1000</v>
      </c>
      <c r="F82" s="13">
        <f>CHOOSE($C$3,C82,D82,E82)</f>
        <v/>
      </c>
      <c r="G82" s="4" t="inlineStr">
        <is>
          <t>Desk estimate; school agreement and VAT to check</t>
        </is>
      </c>
    </row>
    <row r="83">
      <c r="A83" s="2" t="inlineStr">
        <is>
          <t>Hire of unused hours, Year 2</t>
        </is>
      </c>
      <c r="B83" s="2" t="inlineStr">
        <is>
          <t>£/year</t>
        </is>
      </c>
      <c r="C83" s="25" t="n">
        <v>0</v>
      </c>
      <c r="D83" s="25" t="n">
        <v>1500</v>
      </c>
      <c r="E83" s="25" t="n">
        <v>3000</v>
      </c>
      <c r="F83" s="13">
        <f>CHOOSE($C$3,C83,D83,E83)</f>
        <v/>
      </c>
      <c r="G83" s="4" t="inlineStr">
        <is>
          <t>Desk estimate</t>
        </is>
      </c>
    </row>
    <row r="84">
      <c r="A84" s="2" t="inlineStr">
        <is>
          <t>Hire of unused hours, Year 3</t>
        </is>
      </c>
      <c r="B84" s="2" t="inlineStr">
        <is>
          <t>£/year</t>
        </is>
      </c>
      <c r="C84" s="25" t="n">
        <v>1000</v>
      </c>
      <c r="D84" s="25" t="n">
        <v>3000</v>
      </c>
      <c r="E84" s="25" t="n">
        <v>5000</v>
      </c>
      <c r="F84" s="13">
        <f>CHOOSE($C$3,C84,D84,E84)</f>
        <v/>
      </c>
      <c r="G84" s="4" t="inlineStr">
        <is>
          <t>Desk estimate</t>
        </is>
      </c>
    </row>
    <row r="85">
      <c r="A85" s="9" t="inlineStr">
        <is>
          <t>Community sessions (free, SEND, wheelchair, girls-only, over-40s)</t>
        </is>
      </c>
      <c r="B85" s="16" t="n"/>
      <c r="C85" s="16" t="n"/>
      <c r="D85" s="16" t="n"/>
      <c r="E85" s="16" t="n"/>
      <c r="F85" s="16" t="n"/>
      <c r="G85" s="16" t="n"/>
    </row>
    <row r="86">
      <c r="A86" s="2" t="inlineStr">
        <is>
          <t>Community sessions a week</t>
        </is>
      </c>
      <c r="B86" s="2" t="inlineStr">
        <is>
          <t>sessions</t>
        </is>
      </c>
      <c r="C86" s="19" t="n">
        <v>2</v>
      </c>
      <c r="D86" s="19" t="n">
        <v>3</v>
      </c>
      <c r="E86" s="19" t="n">
        <v>4</v>
      </c>
      <c r="F86" s="20">
        <f>CHOOSE($C$3,C86,D86,E86)</f>
        <v/>
      </c>
      <c r="G86" s="4" t="inlineStr">
        <is>
          <t>Desk estimate; timetable owned by the Coaching Director</t>
        </is>
      </c>
    </row>
    <row r="87">
      <c r="A87" s="2" t="inlineStr">
        <is>
          <t>Share of their coaching cost paid by grants, Year 1</t>
        </is>
      </c>
      <c r="B87" s="2" t="inlineStr">
        <is>
          <t>% of cost</t>
        </is>
      </c>
      <c r="C87" s="23" t="n">
        <v>0</v>
      </c>
      <c r="D87" s="23" t="n">
        <v>0</v>
      </c>
      <c r="E87" s="23" t="n">
        <v>0</v>
      </c>
      <c r="F87" s="24">
        <f>CHOOSE($C$3,C87,D87,E87)</f>
        <v/>
      </c>
      <c r="G87" s="4" t="inlineStr">
        <is>
          <t>Jamie, 29 Oct 2026: Arena #1 runs through the Ltd; most community grants need a not-for-profit, so none in Year 1</t>
        </is>
      </c>
    </row>
    <row r="88">
      <c r="A88" s="2" t="inlineStr">
        <is>
          <t>Share paid by grants, Year 2</t>
        </is>
      </c>
      <c r="B88" s="2" t="inlineStr">
        <is>
          <t>% of cost</t>
        </is>
      </c>
      <c r="C88" s="23" t="n">
        <v>0.25</v>
      </c>
      <c r="D88" s="23" t="n">
        <v>0.5</v>
      </c>
      <c r="E88" s="23" t="n">
        <v>0.75</v>
      </c>
      <c r="F88" s="24">
        <f>CHOOSE($C$3,C88,D88,E88)</f>
        <v/>
      </c>
      <c r="G88" s="4" t="inlineStr">
        <is>
          <t>Desk estimate: once a CIC is set up after Arena #1 is proven</t>
        </is>
      </c>
    </row>
    <row r="89">
      <c r="A89" s="2" t="inlineStr">
        <is>
          <t>Share paid by grants, Year 3</t>
        </is>
      </c>
      <c r="B89" s="2" t="inlineStr">
        <is>
          <t>% of cost</t>
        </is>
      </c>
      <c r="C89" s="23" t="n">
        <v>0.5</v>
      </c>
      <c r="D89" s="23" t="n">
        <v>0.75</v>
      </c>
      <c r="E89" s="23" t="n">
        <v>1</v>
      </c>
      <c r="F89" s="24">
        <f>CHOOSE($C$3,C89,D89,E89)</f>
        <v/>
      </c>
      <c r="G89" s="4" t="inlineStr">
        <is>
          <t>Desk estimate</t>
        </is>
      </c>
    </row>
    <row r="90">
      <c r="A90" s="9" t="inlineStr">
        <is>
          <t>Arena running costs</t>
        </is>
      </c>
      <c r="B90" s="16" t="n"/>
      <c r="C90" s="16" t="n"/>
      <c r="D90" s="16" t="n"/>
      <c r="E90" s="16" t="n"/>
      <c r="F90" s="16" t="n"/>
      <c r="G90" s="16" t="n"/>
    </row>
    <row r="91">
      <c r="A91" s="2" t="inlineStr">
        <is>
          <t>Supplier finance (Zappshelter package)</t>
        </is>
      </c>
      <c r="B91" s="2" t="inlineStr">
        <is>
          <t>£/month</t>
        </is>
      </c>
      <c r="C91" s="25" t="n">
        <v>2000</v>
      </c>
      <c r="D91" s="25" t="n">
        <v>2000</v>
      </c>
      <c r="E91" s="25" t="n">
        <v>2000</v>
      </c>
      <c r="F91" s="13">
        <f>CHOOSE($C$3,C91,D91,E91)</f>
        <v/>
      </c>
      <c r="G91" s="4" t="inlineStr">
        <is>
          <t>Indicative: Zappshelter, Peter Laird, 29 Oct 2026: about £2,000 + VAT a month over 5 years (about £3,000 over 3) for the £87,343 + VAT package. Containers not included. VAT treatment to confirm</t>
        </is>
      </c>
    </row>
    <row r="92">
      <c r="A92" s="2" t="inlineStr">
        <is>
          <t>Finance term</t>
        </is>
      </c>
      <c r="B92" s="2" t="inlineStr">
        <is>
          <t>months</t>
        </is>
      </c>
      <c r="C92" s="19" t="n">
        <v>60</v>
      </c>
      <c r="D92" s="19" t="n">
        <v>60</v>
      </c>
      <c r="E92" s="19" t="n">
        <v>60</v>
      </c>
      <c r="F92" s="20">
        <f>CHOOSE($C$3,C92,D92,E92)</f>
        <v/>
      </c>
      <c r="G92" s="4" t="inlineStr">
        <is>
          <t>Indicative, as above</t>
        </is>
      </c>
    </row>
    <row r="93">
      <c r="A93" s="2" t="inlineStr">
        <is>
          <t>Running: insurance, power, maintenance, fabric fund</t>
        </is>
      </c>
      <c r="B93" s="2" t="inlineStr">
        <is>
          <t>£/month</t>
        </is>
      </c>
      <c r="C93" s="25" t="n">
        <v>1000</v>
      </c>
      <c r="D93" s="25" t="n">
        <v>1000</v>
      </c>
      <c r="E93" s="25" t="n">
        <v>750</v>
      </c>
      <c r="F93" s="13">
        <f>CHOOSE($C$3,C93,D93,E93)</f>
        <v/>
      </c>
      <c r="G93" s="4" t="inlineStr">
        <is>
          <t>Desk estimate: HHOS 2.0 £6k–£12k a year</t>
        </is>
      </c>
    </row>
    <row r="94">
      <c r="A94" s="2" t="inlineStr">
        <is>
          <t>Heating, per winter (Nov to Mar)</t>
        </is>
      </c>
      <c r="B94" s="2" t="inlineStr">
        <is>
          <t>£/winter</t>
        </is>
      </c>
      <c r="C94" s="25" t="n">
        <v>9500</v>
      </c>
      <c r="D94" s="25" t="n">
        <v>7550</v>
      </c>
      <c r="E94" s="25" t="n">
        <v>7550</v>
      </c>
      <c r="F94" s="13">
        <f>CHOOSE($C$3,C94,D94,E94)</f>
        <v/>
      </c>
      <c r="G94" s="4" t="inlineStr">
        <is>
          <t>Desk estimate: £5.6k–£9.5k per winter (options paper v1.0); to re-estimate</t>
        </is>
      </c>
    </row>
    <row r="95">
      <c r="A95" s="2" t="inlineStr">
        <is>
          <t>Rent to the school</t>
        </is>
      </c>
      <c r="B95" s="2" t="inlineStr">
        <is>
          <t>£/month</t>
        </is>
      </c>
      <c r="C95" s="25" t="n">
        <v>0</v>
      </c>
      <c r="D95" s="25" t="n">
        <v>0</v>
      </c>
      <c r="E95" s="25" t="n">
        <v>0</v>
      </c>
      <c r="F95" s="13">
        <f>CHOOSE($C$3,C95,D95,E95)</f>
        <v/>
      </c>
      <c r="G95" s="4" t="inlineStr">
        <is>
          <t>Jamie, 29 Oct 2026: zero rent under the school agreement</t>
        </is>
      </c>
    </row>
    <row r="96">
      <c r="A96" s="2" t="inlineStr">
        <is>
          <t>Marketing</t>
        </is>
      </c>
      <c r="B96" s="2" t="inlineStr">
        <is>
          <t>£/month</t>
        </is>
      </c>
      <c r="C96" s="25" t="n">
        <v>300</v>
      </c>
      <c r="D96" s="25" t="n">
        <v>300</v>
      </c>
      <c r="E96" s="25" t="n">
        <v>400</v>
      </c>
      <c r="F96" s="13">
        <f>CHOOSE($C$3,C96,D96,E96)</f>
        <v/>
      </c>
      <c r="G96" s="4" t="inlineStr">
        <is>
          <t>Desk estimate</t>
        </is>
      </c>
    </row>
    <row r="97">
      <c r="A97" s="2" t="inlineStr">
        <is>
          <t>Admin and systems</t>
        </is>
      </c>
      <c r="B97" s="2" t="inlineStr">
        <is>
          <t>£/month</t>
        </is>
      </c>
      <c r="C97" s="25" t="n">
        <v>250</v>
      </c>
      <c r="D97" s="25" t="n">
        <v>250</v>
      </c>
      <c r="E97" s="25" t="n">
        <v>250</v>
      </c>
      <c r="F97" s="13">
        <f>CHOOSE($C$3,C97,D97,E97)</f>
        <v/>
      </c>
      <c r="G97" s="4" t="inlineStr">
        <is>
          <t>Desk estimate</t>
        </is>
      </c>
    </row>
    <row r="98">
      <c r="A98" s="2" t="inlineStr">
        <is>
          <t>Kit replacement</t>
        </is>
      </c>
      <c r="B98" s="2" t="inlineStr">
        <is>
          <t>£/year</t>
        </is>
      </c>
      <c r="C98" s="25" t="n">
        <v>1500</v>
      </c>
      <c r="D98" s="25" t="n">
        <v>1000</v>
      </c>
      <c r="E98" s="25" t="n">
        <v>1000</v>
      </c>
      <c r="F98" s="13">
        <f>CHOOSE($C$3,C98,D98,E98)</f>
        <v/>
      </c>
      <c r="G98" s="4" t="inlineStr">
        <is>
          <t>Desk estimate</t>
        </is>
      </c>
    </row>
    <row r="99">
      <c r="A99" s="9" t="inlineStr">
        <is>
          <t>Today, in rented halls (for comparison)</t>
        </is>
      </c>
      <c r="B99" s="16" t="n"/>
      <c r="C99" s="16" t="n"/>
      <c r="D99" s="16" t="n"/>
      <c r="E99" s="16" t="n"/>
      <c r="F99" s="16" t="n"/>
      <c r="G99" s="16" t="n"/>
    </row>
    <row r="100">
      <c r="A100" s="2" t="inlineStr">
        <is>
          <t>Members today (Aylesbury + Wendover)</t>
        </is>
      </c>
      <c r="B100" s="2" t="inlineStr">
        <is>
          <t>members</t>
        </is>
      </c>
      <c r="C100" s="19" t="n">
        <v>98</v>
      </c>
      <c r="D100" s="19" t="n">
        <v>98</v>
      </c>
      <c r="E100" s="19" t="n">
        <v>98</v>
      </c>
      <c r="F100" s="20">
        <f>CHOOSE($C$3,C100,D100,E100)</f>
        <v/>
      </c>
      <c r="G100" s="4" t="inlineStr">
        <is>
          <t>Actual: TeamUp paid members, 26 Oct 2026</t>
        </is>
      </c>
    </row>
    <row r="101">
      <c r="A101" s="2" t="inlineStr">
        <is>
          <t>Hall rent today</t>
        </is>
      </c>
      <c r="B101" s="2" t="inlineStr">
        <is>
          <t>£/month</t>
        </is>
      </c>
      <c r="C101" s="21" t="n">
        <v>607.85</v>
      </c>
      <c r="D101" s="21" t="n">
        <v>607.85</v>
      </c>
      <c r="E101" s="21" t="n">
        <v>607.85</v>
      </c>
      <c r="F101" s="22">
        <f>CHOOSE($C$3,C101,D101,E101)</f>
        <v/>
      </c>
      <c r="G101" s="4" t="inlineStr">
        <is>
          <t>Actual: invoices and Finance model (Project Overview v0.2)</t>
        </is>
      </c>
    </row>
    <row r="102">
      <c r="A102" s="2" t="inlineStr">
        <is>
          <t>Classes a week today</t>
        </is>
      </c>
      <c r="B102" s="2" t="inlineStr">
        <is>
          <t>classes</t>
        </is>
      </c>
      <c r="C102" s="19" t="n">
        <v>5</v>
      </c>
      <c r="D102" s="19" t="n">
        <v>5</v>
      </c>
      <c r="E102" s="19" t="n">
        <v>5</v>
      </c>
      <c r="F102" s="20">
        <f>CHOOSE($C$3,C102,D102,E102)</f>
        <v/>
      </c>
      <c r="G102" s="4" t="inlineStr">
        <is>
          <t>Actual: TeamUp, 26 Oct 2026</t>
        </is>
      </c>
    </row>
    <row r="104">
      <c r="A104" s="3" t="inlineStr">
        <is>
          <t>Holiday and winter calendar</t>
        </is>
      </c>
    </row>
    <row r="105">
      <c r="A105" s="15" t="inlineStr">
        <is>
          <t>Month</t>
        </is>
      </c>
      <c r="B105" s="15" t="inlineStr">
        <is>
          <t>Month no.</t>
        </is>
      </c>
      <c r="C105" s="15" t="inlineStr">
        <is>
          <t>Camp weeks</t>
        </is>
      </c>
      <c r="D105" s="15" t="inlineStr">
        <is>
          <t>HAF weeks</t>
        </is>
      </c>
      <c r="E105" s="15" t="inlineStr">
        <is>
          <t>Heating month (1 = yes)</t>
        </is>
      </c>
    </row>
    <row r="106">
      <c r="A106" s="2" t="inlineStr">
        <is>
          <t>Jan</t>
        </is>
      </c>
      <c r="B106" s="2" t="n">
        <v>1</v>
      </c>
      <c r="C106" s="29" t="n">
        <v>0</v>
      </c>
      <c r="D106" s="29" t="n">
        <v>0</v>
      </c>
      <c r="E106" s="29" t="n">
        <v>1</v>
      </c>
    </row>
    <row r="107">
      <c r="A107" s="2" t="inlineStr">
        <is>
          <t>Feb</t>
        </is>
      </c>
      <c r="B107" s="2" t="n">
        <v>2</v>
      </c>
      <c r="C107" s="29" t="n">
        <v>1</v>
      </c>
      <c r="D107" s="29" t="n">
        <v>0</v>
      </c>
      <c r="E107" s="29" t="n">
        <v>1</v>
      </c>
    </row>
    <row r="108">
      <c r="A108" s="2" t="inlineStr">
        <is>
          <t>Mar</t>
        </is>
      </c>
      <c r="B108" s="2" t="n">
        <v>3</v>
      </c>
      <c r="C108" s="29" t="n">
        <v>0</v>
      </c>
      <c r="D108" s="29" t="n">
        <v>0</v>
      </c>
      <c r="E108" s="29" t="n">
        <v>1</v>
      </c>
    </row>
    <row r="109">
      <c r="A109" s="2" t="inlineStr">
        <is>
          <t>Apr</t>
        </is>
      </c>
      <c r="B109" s="2" t="n">
        <v>4</v>
      </c>
      <c r="C109" s="29" t="n">
        <v>2</v>
      </c>
      <c r="D109" s="29" t="n">
        <v>1</v>
      </c>
      <c r="E109" s="29" t="n">
        <v>0</v>
      </c>
    </row>
    <row r="110">
      <c r="A110" s="2" t="inlineStr">
        <is>
          <t>May</t>
        </is>
      </c>
      <c r="B110" s="2" t="n">
        <v>5</v>
      </c>
      <c r="C110" s="29" t="n">
        <v>1</v>
      </c>
      <c r="D110" s="29" t="n">
        <v>0</v>
      </c>
      <c r="E110" s="29" t="n">
        <v>0</v>
      </c>
    </row>
    <row r="111">
      <c r="A111" s="2" t="inlineStr">
        <is>
          <t>Jun</t>
        </is>
      </c>
      <c r="B111" s="2" t="n">
        <v>6</v>
      </c>
      <c r="C111" s="29" t="n">
        <v>0</v>
      </c>
      <c r="D111" s="29" t="n">
        <v>0</v>
      </c>
      <c r="E111" s="29" t="n">
        <v>0</v>
      </c>
    </row>
    <row r="112">
      <c r="A112" s="2" t="inlineStr">
        <is>
          <t>Jul</t>
        </is>
      </c>
      <c r="B112" s="2" t="n">
        <v>7</v>
      </c>
      <c r="C112" s="29" t="n">
        <v>2</v>
      </c>
      <c r="D112" s="29" t="n">
        <v>1</v>
      </c>
      <c r="E112" s="29" t="n">
        <v>0</v>
      </c>
    </row>
    <row r="113">
      <c r="A113" s="2" t="inlineStr">
        <is>
          <t>Aug</t>
        </is>
      </c>
      <c r="B113" s="2" t="n">
        <v>8</v>
      </c>
      <c r="C113" s="29" t="n">
        <v>4</v>
      </c>
      <c r="D113" s="29" t="n">
        <v>3</v>
      </c>
      <c r="E113" s="29" t="n">
        <v>0</v>
      </c>
    </row>
    <row r="114">
      <c r="A114" s="2" t="inlineStr">
        <is>
          <t>Sep</t>
        </is>
      </c>
      <c r="B114" s="2" t="n">
        <v>9</v>
      </c>
      <c r="C114" s="29" t="n">
        <v>0</v>
      </c>
      <c r="D114" s="29" t="n">
        <v>0</v>
      </c>
      <c r="E114" s="29" t="n">
        <v>0</v>
      </c>
    </row>
    <row r="115">
      <c r="A115" s="2" t="inlineStr">
        <is>
          <t>Oct</t>
        </is>
      </c>
      <c r="B115" s="2" t="n">
        <v>10</v>
      </c>
      <c r="C115" s="29" t="n">
        <v>1</v>
      </c>
      <c r="D115" s="29" t="n">
        <v>0</v>
      </c>
      <c r="E115" s="29" t="n">
        <v>0</v>
      </c>
    </row>
    <row r="116">
      <c r="A116" s="2" t="inlineStr">
        <is>
          <t>Nov</t>
        </is>
      </c>
      <c r="B116" s="2" t="n">
        <v>11</v>
      </c>
      <c r="C116" s="29" t="n">
        <v>0</v>
      </c>
      <c r="D116" s="29" t="n">
        <v>0</v>
      </c>
      <c r="E116" s="29" t="n">
        <v>1</v>
      </c>
    </row>
    <row r="117">
      <c r="A117" s="2" t="inlineStr">
        <is>
          <t>Dec</t>
        </is>
      </c>
      <c r="B117" s="2" t="n">
        <v>12</v>
      </c>
      <c r="C117" s="29" t="n">
        <v>2</v>
      </c>
      <c r="D117" s="29" t="n">
        <v>1</v>
      </c>
      <c r="E117" s="29" t="n">
        <v>1</v>
      </c>
    </row>
    <row r="118">
      <c r="A118" s="3" t="inlineStr">
        <is>
          <t>Totals</t>
        </is>
      </c>
      <c r="C118" s="3">
        <f>SUM(C106:C117)</f>
        <v/>
      </c>
      <c r="D118" s="3">
        <f>SUM(D106:D117)</f>
        <v/>
      </c>
      <c r="E118" s="3">
        <f>SUM(E106:E117)</f>
        <v/>
      </c>
      <c r="F118" s="4" t="inlineStr">
        <is>
          <t>Camp weeks = school holidays (13); HAF = Easter, summer and Christmas (desk estimate)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Heroes Arena: month by month, 36 months</t>
        </is>
      </c>
    </row>
    <row r="2">
      <c r="A2" s="4">
        <f>CONCATENATE("Case shown: ",Assumptions!$D$3,". All £ after Flat Rate VAT. Change inputs on the Assumptions sheet only.")</f>
        <v/>
      </c>
    </row>
    <row r="3">
      <c r="B3" s="3" t="inlineStr">
        <is>
          <t>Month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2" t="n">
        <v>31</v>
      </c>
      <c r="AH3" s="2" t="n">
        <v>32</v>
      </c>
      <c r="AI3" s="2" t="n">
        <v>33</v>
      </c>
      <c r="AJ3" s="2" t="n">
        <v>34</v>
      </c>
      <c r="AK3" s="2" t="n">
        <v>35</v>
      </c>
      <c r="AL3" s="2" t="n">
        <v>36</v>
      </c>
    </row>
    <row r="4">
      <c r="B4" s="3" t="inlineStr">
        <is>
          <t>Month starting</t>
        </is>
      </c>
      <c r="C4" s="30">
        <f>EDATE(Assumptions!$F$7,C3-1)</f>
        <v/>
      </c>
      <c r="D4" s="30">
        <f>EDATE(Assumptions!$F$7,D3-1)</f>
        <v/>
      </c>
      <c r="E4" s="30">
        <f>EDATE(Assumptions!$F$7,E3-1)</f>
        <v/>
      </c>
      <c r="F4" s="30">
        <f>EDATE(Assumptions!$F$7,F3-1)</f>
        <v/>
      </c>
      <c r="G4" s="30">
        <f>EDATE(Assumptions!$F$7,G3-1)</f>
        <v/>
      </c>
      <c r="H4" s="30">
        <f>EDATE(Assumptions!$F$7,H3-1)</f>
        <v/>
      </c>
      <c r="I4" s="30">
        <f>EDATE(Assumptions!$F$7,I3-1)</f>
        <v/>
      </c>
      <c r="J4" s="30">
        <f>EDATE(Assumptions!$F$7,J3-1)</f>
        <v/>
      </c>
      <c r="K4" s="30">
        <f>EDATE(Assumptions!$F$7,K3-1)</f>
        <v/>
      </c>
      <c r="L4" s="30">
        <f>EDATE(Assumptions!$F$7,L3-1)</f>
        <v/>
      </c>
      <c r="M4" s="30">
        <f>EDATE(Assumptions!$F$7,M3-1)</f>
        <v/>
      </c>
      <c r="N4" s="30">
        <f>EDATE(Assumptions!$F$7,N3-1)</f>
        <v/>
      </c>
      <c r="O4" s="30">
        <f>EDATE(Assumptions!$F$7,O3-1)</f>
        <v/>
      </c>
      <c r="P4" s="30">
        <f>EDATE(Assumptions!$F$7,P3-1)</f>
        <v/>
      </c>
      <c r="Q4" s="30">
        <f>EDATE(Assumptions!$F$7,Q3-1)</f>
        <v/>
      </c>
      <c r="R4" s="30">
        <f>EDATE(Assumptions!$F$7,R3-1)</f>
        <v/>
      </c>
      <c r="S4" s="30">
        <f>EDATE(Assumptions!$F$7,S3-1)</f>
        <v/>
      </c>
      <c r="T4" s="30">
        <f>EDATE(Assumptions!$F$7,T3-1)</f>
        <v/>
      </c>
      <c r="U4" s="30">
        <f>EDATE(Assumptions!$F$7,U3-1)</f>
        <v/>
      </c>
      <c r="V4" s="30">
        <f>EDATE(Assumptions!$F$7,V3-1)</f>
        <v/>
      </c>
      <c r="W4" s="30">
        <f>EDATE(Assumptions!$F$7,W3-1)</f>
        <v/>
      </c>
      <c r="X4" s="30">
        <f>EDATE(Assumptions!$F$7,X3-1)</f>
        <v/>
      </c>
      <c r="Y4" s="30">
        <f>EDATE(Assumptions!$F$7,Y3-1)</f>
        <v/>
      </c>
      <c r="Z4" s="30">
        <f>EDATE(Assumptions!$F$7,Z3-1)</f>
        <v/>
      </c>
      <c r="AA4" s="30">
        <f>EDATE(Assumptions!$F$7,AA3-1)</f>
        <v/>
      </c>
      <c r="AB4" s="30">
        <f>EDATE(Assumptions!$F$7,AB3-1)</f>
        <v/>
      </c>
      <c r="AC4" s="30">
        <f>EDATE(Assumptions!$F$7,AC3-1)</f>
        <v/>
      </c>
      <c r="AD4" s="30">
        <f>EDATE(Assumptions!$F$7,AD3-1)</f>
        <v/>
      </c>
      <c r="AE4" s="30">
        <f>EDATE(Assumptions!$F$7,AE3-1)</f>
        <v/>
      </c>
      <c r="AF4" s="30">
        <f>EDATE(Assumptions!$F$7,AF3-1)</f>
        <v/>
      </c>
      <c r="AG4" s="30">
        <f>EDATE(Assumptions!$F$7,AG3-1)</f>
        <v/>
      </c>
      <c r="AH4" s="30">
        <f>EDATE(Assumptions!$F$7,AH3-1)</f>
        <v/>
      </c>
      <c r="AI4" s="30">
        <f>EDATE(Assumptions!$F$7,AI3-1)</f>
        <v/>
      </c>
      <c r="AJ4" s="30">
        <f>EDATE(Assumptions!$F$7,AJ3-1)</f>
        <v/>
      </c>
      <c r="AK4" s="30">
        <f>EDATE(Assumptions!$F$7,AK3-1)</f>
        <v/>
      </c>
      <c r="AL4" s="30">
        <f>EDATE(Assumptions!$F$7,AL3-1)</f>
        <v/>
      </c>
    </row>
    <row r="5">
      <c r="B5" s="2" t="inlineStr">
        <is>
          <t>Arena year</t>
        </is>
      </c>
      <c r="C5" s="31">
        <f>ROUNDUP(C3/12,0)</f>
        <v/>
      </c>
      <c r="D5" s="31">
        <f>ROUNDUP(D3/12,0)</f>
        <v/>
      </c>
      <c r="E5" s="31">
        <f>ROUNDUP(E3/12,0)</f>
        <v/>
      </c>
      <c r="F5" s="31">
        <f>ROUNDUP(F3/12,0)</f>
        <v/>
      </c>
      <c r="G5" s="31">
        <f>ROUNDUP(G3/12,0)</f>
        <v/>
      </c>
      <c r="H5" s="31">
        <f>ROUNDUP(H3/12,0)</f>
        <v/>
      </c>
      <c r="I5" s="31">
        <f>ROUNDUP(I3/12,0)</f>
        <v/>
      </c>
      <c r="J5" s="31">
        <f>ROUNDUP(J3/12,0)</f>
        <v/>
      </c>
      <c r="K5" s="31">
        <f>ROUNDUP(K3/12,0)</f>
        <v/>
      </c>
      <c r="L5" s="31">
        <f>ROUNDUP(L3/12,0)</f>
        <v/>
      </c>
      <c r="M5" s="31">
        <f>ROUNDUP(M3/12,0)</f>
        <v/>
      </c>
      <c r="N5" s="31">
        <f>ROUNDUP(N3/12,0)</f>
        <v/>
      </c>
      <c r="O5" s="31">
        <f>ROUNDUP(O3/12,0)</f>
        <v/>
      </c>
      <c r="P5" s="31">
        <f>ROUNDUP(P3/12,0)</f>
        <v/>
      </c>
      <c r="Q5" s="31">
        <f>ROUNDUP(Q3/12,0)</f>
        <v/>
      </c>
      <c r="R5" s="31">
        <f>ROUNDUP(R3/12,0)</f>
        <v/>
      </c>
      <c r="S5" s="31">
        <f>ROUNDUP(S3/12,0)</f>
        <v/>
      </c>
      <c r="T5" s="31">
        <f>ROUNDUP(T3/12,0)</f>
        <v/>
      </c>
      <c r="U5" s="31">
        <f>ROUNDUP(U3/12,0)</f>
        <v/>
      </c>
      <c r="V5" s="31">
        <f>ROUNDUP(V3/12,0)</f>
        <v/>
      </c>
      <c r="W5" s="31">
        <f>ROUNDUP(W3/12,0)</f>
        <v/>
      </c>
      <c r="X5" s="31">
        <f>ROUNDUP(X3/12,0)</f>
        <v/>
      </c>
      <c r="Y5" s="31">
        <f>ROUNDUP(Y3/12,0)</f>
        <v/>
      </c>
      <c r="Z5" s="31">
        <f>ROUNDUP(Z3/12,0)</f>
        <v/>
      </c>
      <c r="AA5" s="31">
        <f>ROUNDUP(AA3/12,0)</f>
        <v/>
      </c>
      <c r="AB5" s="31">
        <f>ROUNDUP(AB3/12,0)</f>
        <v/>
      </c>
      <c r="AC5" s="31">
        <f>ROUNDUP(AC3/12,0)</f>
        <v/>
      </c>
      <c r="AD5" s="31">
        <f>ROUNDUP(AD3/12,0)</f>
        <v/>
      </c>
      <c r="AE5" s="31">
        <f>ROUNDUP(AE3/12,0)</f>
        <v/>
      </c>
      <c r="AF5" s="31">
        <f>ROUNDUP(AF3/12,0)</f>
        <v/>
      </c>
      <c r="AG5" s="31">
        <f>ROUNDUP(AG3/12,0)</f>
        <v/>
      </c>
      <c r="AH5" s="31">
        <f>ROUNDUP(AH3/12,0)</f>
        <v/>
      </c>
      <c r="AI5" s="31">
        <f>ROUNDUP(AI3/12,0)</f>
        <v/>
      </c>
      <c r="AJ5" s="31">
        <f>ROUNDUP(AJ3/12,0)</f>
        <v/>
      </c>
      <c r="AK5" s="31">
        <f>ROUNDUP(AK3/12,0)</f>
        <v/>
      </c>
      <c r="AL5" s="31">
        <f>ROUNDUP(AL3/12,0)</f>
        <v/>
      </c>
    </row>
    <row r="6">
      <c r="B6" s="2" t="inlineStr">
        <is>
          <t>Calendar month</t>
        </is>
      </c>
      <c r="C6" s="31">
        <f>MONTH(C4)</f>
        <v/>
      </c>
      <c r="D6" s="31">
        <f>MONTH(D4)</f>
        <v/>
      </c>
      <c r="E6" s="31">
        <f>MONTH(E4)</f>
        <v/>
      </c>
      <c r="F6" s="31">
        <f>MONTH(F4)</f>
        <v/>
      </c>
      <c r="G6" s="31">
        <f>MONTH(G4)</f>
        <v/>
      </c>
      <c r="H6" s="31">
        <f>MONTH(H4)</f>
        <v/>
      </c>
      <c r="I6" s="31">
        <f>MONTH(I4)</f>
        <v/>
      </c>
      <c r="J6" s="31">
        <f>MONTH(J4)</f>
        <v/>
      </c>
      <c r="K6" s="31">
        <f>MONTH(K4)</f>
        <v/>
      </c>
      <c r="L6" s="31">
        <f>MONTH(L4)</f>
        <v/>
      </c>
      <c r="M6" s="31">
        <f>MONTH(M4)</f>
        <v/>
      </c>
      <c r="N6" s="31">
        <f>MONTH(N4)</f>
        <v/>
      </c>
      <c r="O6" s="31">
        <f>MONTH(O4)</f>
        <v/>
      </c>
      <c r="P6" s="31">
        <f>MONTH(P4)</f>
        <v/>
      </c>
      <c r="Q6" s="31">
        <f>MONTH(Q4)</f>
        <v/>
      </c>
      <c r="R6" s="31">
        <f>MONTH(R4)</f>
        <v/>
      </c>
      <c r="S6" s="31">
        <f>MONTH(S4)</f>
        <v/>
      </c>
      <c r="T6" s="31">
        <f>MONTH(T4)</f>
        <v/>
      </c>
      <c r="U6" s="31">
        <f>MONTH(U4)</f>
        <v/>
      </c>
      <c r="V6" s="31">
        <f>MONTH(V4)</f>
        <v/>
      </c>
      <c r="W6" s="31">
        <f>MONTH(W4)</f>
        <v/>
      </c>
      <c r="X6" s="31">
        <f>MONTH(X4)</f>
        <v/>
      </c>
      <c r="Y6" s="31">
        <f>MONTH(Y4)</f>
        <v/>
      </c>
      <c r="Z6" s="31">
        <f>MONTH(Z4)</f>
        <v/>
      </c>
      <c r="AA6" s="31">
        <f>MONTH(AA4)</f>
        <v/>
      </c>
      <c r="AB6" s="31">
        <f>MONTH(AB4)</f>
        <v/>
      </c>
      <c r="AC6" s="31">
        <f>MONTH(AC4)</f>
        <v/>
      </c>
      <c r="AD6" s="31">
        <f>MONTH(AD4)</f>
        <v/>
      </c>
      <c r="AE6" s="31">
        <f>MONTH(AE4)</f>
        <v/>
      </c>
      <c r="AF6" s="31">
        <f>MONTH(AF4)</f>
        <v/>
      </c>
      <c r="AG6" s="31">
        <f>MONTH(AG4)</f>
        <v/>
      </c>
      <c r="AH6" s="31">
        <f>MONTH(AH4)</f>
        <v/>
      </c>
      <c r="AI6" s="31">
        <f>MONTH(AI4)</f>
        <v/>
      </c>
      <c r="AJ6" s="31">
        <f>MONTH(AJ4)</f>
        <v/>
      </c>
      <c r="AK6" s="31">
        <f>MONTH(AK4)</f>
        <v/>
      </c>
      <c r="AL6" s="31">
        <f>MONTH(AL4)</f>
        <v/>
      </c>
    </row>
    <row r="8">
      <c r="B8" s="15" t="inlineStr">
        <is>
          <t>MEMBERS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  <c r="AL8" s="32" t="n"/>
    </row>
    <row r="9">
      <c r="B9" s="2" t="inlineStr">
        <is>
          <t>Members</t>
        </is>
      </c>
      <c r="C9" s="6">
        <f>IF(C3&lt;=12,Assumptions!$F$8+(Assumptions!$F$9-Assumptions!$F$8)*C3/12,IF(C3&lt;=24,Assumptions!$F$9+(Assumptions!$F$10-Assumptions!$F$9)*(C3-12)/12,Assumptions!$F$10+(Assumptions!$F$11-Assumptions!$F$10)*(C3-24)/12))</f>
        <v/>
      </c>
      <c r="D9" s="6">
        <f>IF(D3&lt;=12,Assumptions!$F$8+(Assumptions!$F$9-Assumptions!$F$8)*D3/12,IF(D3&lt;=24,Assumptions!$F$9+(Assumptions!$F$10-Assumptions!$F$9)*(D3-12)/12,Assumptions!$F$10+(Assumptions!$F$11-Assumptions!$F$10)*(D3-24)/12))</f>
        <v/>
      </c>
      <c r="E9" s="6">
        <f>IF(E3&lt;=12,Assumptions!$F$8+(Assumptions!$F$9-Assumptions!$F$8)*E3/12,IF(E3&lt;=24,Assumptions!$F$9+(Assumptions!$F$10-Assumptions!$F$9)*(E3-12)/12,Assumptions!$F$10+(Assumptions!$F$11-Assumptions!$F$10)*(E3-24)/12))</f>
        <v/>
      </c>
      <c r="F9" s="6">
        <f>IF(F3&lt;=12,Assumptions!$F$8+(Assumptions!$F$9-Assumptions!$F$8)*F3/12,IF(F3&lt;=24,Assumptions!$F$9+(Assumptions!$F$10-Assumptions!$F$9)*(F3-12)/12,Assumptions!$F$10+(Assumptions!$F$11-Assumptions!$F$10)*(F3-24)/12))</f>
        <v/>
      </c>
      <c r="G9" s="6">
        <f>IF(G3&lt;=12,Assumptions!$F$8+(Assumptions!$F$9-Assumptions!$F$8)*G3/12,IF(G3&lt;=24,Assumptions!$F$9+(Assumptions!$F$10-Assumptions!$F$9)*(G3-12)/12,Assumptions!$F$10+(Assumptions!$F$11-Assumptions!$F$10)*(G3-24)/12))</f>
        <v/>
      </c>
      <c r="H9" s="6">
        <f>IF(H3&lt;=12,Assumptions!$F$8+(Assumptions!$F$9-Assumptions!$F$8)*H3/12,IF(H3&lt;=24,Assumptions!$F$9+(Assumptions!$F$10-Assumptions!$F$9)*(H3-12)/12,Assumptions!$F$10+(Assumptions!$F$11-Assumptions!$F$10)*(H3-24)/12))</f>
        <v/>
      </c>
      <c r="I9" s="6">
        <f>IF(I3&lt;=12,Assumptions!$F$8+(Assumptions!$F$9-Assumptions!$F$8)*I3/12,IF(I3&lt;=24,Assumptions!$F$9+(Assumptions!$F$10-Assumptions!$F$9)*(I3-12)/12,Assumptions!$F$10+(Assumptions!$F$11-Assumptions!$F$10)*(I3-24)/12))</f>
        <v/>
      </c>
      <c r="J9" s="6">
        <f>IF(J3&lt;=12,Assumptions!$F$8+(Assumptions!$F$9-Assumptions!$F$8)*J3/12,IF(J3&lt;=24,Assumptions!$F$9+(Assumptions!$F$10-Assumptions!$F$9)*(J3-12)/12,Assumptions!$F$10+(Assumptions!$F$11-Assumptions!$F$10)*(J3-24)/12))</f>
        <v/>
      </c>
      <c r="K9" s="6">
        <f>IF(K3&lt;=12,Assumptions!$F$8+(Assumptions!$F$9-Assumptions!$F$8)*K3/12,IF(K3&lt;=24,Assumptions!$F$9+(Assumptions!$F$10-Assumptions!$F$9)*(K3-12)/12,Assumptions!$F$10+(Assumptions!$F$11-Assumptions!$F$10)*(K3-24)/12))</f>
        <v/>
      </c>
      <c r="L9" s="6">
        <f>IF(L3&lt;=12,Assumptions!$F$8+(Assumptions!$F$9-Assumptions!$F$8)*L3/12,IF(L3&lt;=24,Assumptions!$F$9+(Assumptions!$F$10-Assumptions!$F$9)*(L3-12)/12,Assumptions!$F$10+(Assumptions!$F$11-Assumptions!$F$10)*(L3-24)/12))</f>
        <v/>
      </c>
      <c r="M9" s="6">
        <f>IF(M3&lt;=12,Assumptions!$F$8+(Assumptions!$F$9-Assumptions!$F$8)*M3/12,IF(M3&lt;=24,Assumptions!$F$9+(Assumptions!$F$10-Assumptions!$F$9)*(M3-12)/12,Assumptions!$F$10+(Assumptions!$F$11-Assumptions!$F$10)*(M3-24)/12))</f>
        <v/>
      </c>
      <c r="N9" s="6">
        <f>IF(N3&lt;=12,Assumptions!$F$8+(Assumptions!$F$9-Assumptions!$F$8)*N3/12,IF(N3&lt;=24,Assumptions!$F$9+(Assumptions!$F$10-Assumptions!$F$9)*(N3-12)/12,Assumptions!$F$10+(Assumptions!$F$11-Assumptions!$F$10)*(N3-24)/12))</f>
        <v/>
      </c>
      <c r="O9" s="6">
        <f>IF(O3&lt;=12,Assumptions!$F$8+(Assumptions!$F$9-Assumptions!$F$8)*O3/12,IF(O3&lt;=24,Assumptions!$F$9+(Assumptions!$F$10-Assumptions!$F$9)*(O3-12)/12,Assumptions!$F$10+(Assumptions!$F$11-Assumptions!$F$10)*(O3-24)/12))</f>
        <v/>
      </c>
      <c r="P9" s="6">
        <f>IF(P3&lt;=12,Assumptions!$F$8+(Assumptions!$F$9-Assumptions!$F$8)*P3/12,IF(P3&lt;=24,Assumptions!$F$9+(Assumptions!$F$10-Assumptions!$F$9)*(P3-12)/12,Assumptions!$F$10+(Assumptions!$F$11-Assumptions!$F$10)*(P3-24)/12))</f>
        <v/>
      </c>
      <c r="Q9" s="6">
        <f>IF(Q3&lt;=12,Assumptions!$F$8+(Assumptions!$F$9-Assumptions!$F$8)*Q3/12,IF(Q3&lt;=24,Assumptions!$F$9+(Assumptions!$F$10-Assumptions!$F$9)*(Q3-12)/12,Assumptions!$F$10+(Assumptions!$F$11-Assumptions!$F$10)*(Q3-24)/12))</f>
        <v/>
      </c>
      <c r="R9" s="6">
        <f>IF(R3&lt;=12,Assumptions!$F$8+(Assumptions!$F$9-Assumptions!$F$8)*R3/12,IF(R3&lt;=24,Assumptions!$F$9+(Assumptions!$F$10-Assumptions!$F$9)*(R3-12)/12,Assumptions!$F$10+(Assumptions!$F$11-Assumptions!$F$10)*(R3-24)/12))</f>
        <v/>
      </c>
      <c r="S9" s="6">
        <f>IF(S3&lt;=12,Assumptions!$F$8+(Assumptions!$F$9-Assumptions!$F$8)*S3/12,IF(S3&lt;=24,Assumptions!$F$9+(Assumptions!$F$10-Assumptions!$F$9)*(S3-12)/12,Assumptions!$F$10+(Assumptions!$F$11-Assumptions!$F$10)*(S3-24)/12))</f>
        <v/>
      </c>
      <c r="T9" s="6">
        <f>IF(T3&lt;=12,Assumptions!$F$8+(Assumptions!$F$9-Assumptions!$F$8)*T3/12,IF(T3&lt;=24,Assumptions!$F$9+(Assumptions!$F$10-Assumptions!$F$9)*(T3-12)/12,Assumptions!$F$10+(Assumptions!$F$11-Assumptions!$F$10)*(T3-24)/12))</f>
        <v/>
      </c>
      <c r="U9" s="6">
        <f>IF(U3&lt;=12,Assumptions!$F$8+(Assumptions!$F$9-Assumptions!$F$8)*U3/12,IF(U3&lt;=24,Assumptions!$F$9+(Assumptions!$F$10-Assumptions!$F$9)*(U3-12)/12,Assumptions!$F$10+(Assumptions!$F$11-Assumptions!$F$10)*(U3-24)/12))</f>
        <v/>
      </c>
      <c r="V9" s="6">
        <f>IF(V3&lt;=12,Assumptions!$F$8+(Assumptions!$F$9-Assumptions!$F$8)*V3/12,IF(V3&lt;=24,Assumptions!$F$9+(Assumptions!$F$10-Assumptions!$F$9)*(V3-12)/12,Assumptions!$F$10+(Assumptions!$F$11-Assumptions!$F$10)*(V3-24)/12))</f>
        <v/>
      </c>
      <c r="W9" s="6">
        <f>IF(W3&lt;=12,Assumptions!$F$8+(Assumptions!$F$9-Assumptions!$F$8)*W3/12,IF(W3&lt;=24,Assumptions!$F$9+(Assumptions!$F$10-Assumptions!$F$9)*(W3-12)/12,Assumptions!$F$10+(Assumptions!$F$11-Assumptions!$F$10)*(W3-24)/12))</f>
        <v/>
      </c>
      <c r="X9" s="6">
        <f>IF(X3&lt;=12,Assumptions!$F$8+(Assumptions!$F$9-Assumptions!$F$8)*X3/12,IF(X3&lt;=24,Assumptions!$F$9+(Assumptions!$F$10-Assumptions!$F$9)*(X3-12)/12,Assumptions!$F$10+(Assumptions!$F$11-Assumptions!$F$10)*(X3-24)/12))</f>
        <v/>
      </c>
      <c r="Y9" s="6">
        <f>IF(Y3&lt;=12,Assumptions!$F$8+(Assumptions!$F$9-Assumptions!$F$8)*Y3/12,IF(Y3&lt;=24,Assumptions!$F$9+(Assumptions!$F$10-Assumptions!$F$9)*(Y3-12)/12,Assumptions!$F$10+(Assumptions!$F$11-Assumptions!$F$10)*(Y3-24)/12))</f>
        <v/>
      </c>
      <c r="Z9" s="6">
        <f>IF(Z3&lt;=12,Assumptions!$F$8+(Assumptions!$F$9-Assumptions!$F$8)*Z3/12,IF(Z3&lt;=24,Assumptions!$F$9+(Assumptions!$F$10-Assumptions!$F$9)*(Z3-12)/12,Assumptions!$F$10+(Assumptions!$F$11-Assumptions!$F$10)*(Z3-24)/12))</f>
        <v/>
      </c>
      <c r="AA9" s="6">
        <f>IF(AA3&lt;=12,Assumptions!$F$8+(Assumptions!$F$9-Assumptions!$F$8)*AA3/12,IF(AA3&lt;=24,Assumptions!$F$9+(Assumptions!$F$10-Assumptions!$F$9)*(AA3-12)/12,Assumptions!$F$10+(Assumptions!$F$11-Assumptions!$F$10)*(AA3-24)/12))</f>
        <v/>
      </c>
      <c r="AB9" s="6">
        <f>IF(AB3&lt;=12,Assumptions!$F$8+(Assumptions!$F$9-Assumptions!$F$8)*AB3/12,IF(AB3&lt;=24,Assumptions!$F$9+(Assumptions!$F$10-Assumptions!$F$9)*(AB3-12)/12,Assumptions!$F$10+(Assumptions!$F$11-Assumptions!$F$10)*(AB3-24)/12))</f>
        <v/>
      </c>
      <c r="AC9" s="6">
        <f>IF(AC3&lt;=12,Assumptions!$F$8+(Assumptions!$F$9-Assumptions!$F$8)*AC3/12,IF(AC3&lt;=24,Assumptions!$F$9+(Assumptions!$F$10-Assumptions!$F$9)*(AC3-12)/12,Assumptions!$F$10+(Assumptions!$F$11-Assumptions!$F$10)*(AC3-24)/12))</f>
        <v/>
      </c>
      <c r="AD9" s="6">
        <f>IF(AD3&lt;=12,Assumptions!$F$8+(Assumptions!$F$9-Assumptions!$F$8)*AD3/12,IF(AD3&lt;=24,Assumptions!$F$9+(Assumptions!$F$10-Assumptions!$F$9)*(AD3-12)/12,Assumptions!$F$10+(Assumptions!$F$11-Assumptions!$F$10)*(AD3-24)/12))</f>
        <v/>
      </c>
      <c r="AE9" s="6">
        <f>IF(AE3&lt;=12,Assumptions!$F$8+(Assumptions!$F$9-Assumptions!$F$8)*AE3/12,IF(AE3&lt;=24,Assumptions!$F$9+(Assumptions!$F$10-Assumptions!$F$9)*(AE3-12)/12,Assumptions!$F$10+(Assumptions!$F$11-Assumptions!$F$10)*(AE3-24)/12))</f>
        <v/>
      </c>
      <c r="AF9" s="6">
        <f>IF(AF3&lt;=12,Assumptions!$F$8+(Assumptions!$F$9-Assumptions!$F$8)*AF3/12,IF(AF3&lt;=24,Assumptions!$F$9+(Assumptions!$F$10-Assumptions!$F$9)*(AF3-12)/12,Assumptions!$F$10+(Assumptions!$F$11-Assumptions!$F$10)*(AF3-24)/12))</f>
        <v/>
      </c>
      <c r="AG9" s="6">
        <f>IF(AG3&lt;=12,Assumptions!$F$8+(Assumptions!$F$9-Assumptions!$F$8)*AG3/12,IF(AG3&lt;=24,Assumptions!$F$9+(Assumptions!$F$10-Assumptions!$F$9)*(AG3-12)/12,Assumptions!$F$10+(Assumptions!$F$11-Assumptions!$F$10)*(AG3-24)/12))</f>
        <v/>
      </c>
      <c r="AH9" s="6">
        <f>IF(AH3&lt;=12,Assumptions!$F$8+(Assumptions!$F$9-Assumptions!$F$8)*AH3/12,IF(AH3&lt;=24,Assumptions!$F$9+(Assumptions!$F$10-Assumptions!$F$9)*(AH3-12)/12,Assumptions!$F$10+(Assumptions!$F$11-Assumptions!$F$10)*(AH3-24)/12))</f>
        <v/>
      </c>
      <c r="AI9" s="6">
        <f>IF(AI3&lt;=12,Assumptions!$F$8+(Assumptions!$F$9-Assumptions!$F$8)*AI3/12,IF(AI3&lt;=24,Assumptions!$F$9+(Assumptions!$F$10-Assumptions!$F$9)*(AI3-12)/12,Assumptions!$F$10+(Assumptions!$F$11-Assumptions!$F$10)*(AI3-24)/12))</f>
        <v/>
      </c>
      <c r="AJ9" s="6">
        <f>IF(AJ3&lt;=12,Assumptions!$F$8+(Assumptions!$F$9-Assumptions!$F$8)*AJ3/12,IF(AJ3&lt;=24,Assumptions!$F$9+(Assumptions!$F$10-Assumptions!$F$9)*(AJ3-12)/12,Assumptions!$F$10+(Assumptions!$F$11-Assumptions!$F$10)*(AJ3-24)/12))</f>
        <v/>
      </c>
      <c r="AK9" s="6">
        <f>IF(AK3&lt;=12,Assumptions!$F$8+(Assumptions!$F$9-Assumptions!$F$8)*AK3/12,IF(AK3&lt;=24,Assumptions!$F$9+(Assumptions!$F$10-Assumptions!$F$9)*(AK3-12)/12,Assumptions!$F$10+(Assumptions!$F$11-Assumptions!$F$10)*(AK3-24)/12))</f>
        <v/>
      </c>
      <c r="AL9" s="6">
        <f>IF(AL3&lt;=12,Assumptions!$F$8+(Assumptions!$F$9-Assumptions!$F$8)*AL3/12,IF(AL3&lt;=24,Assumptions!$F$9+(Assumptions!$F$10-Assumptions!$F$9)*(AL3-12)/12,Assumptions!$F$10+(Assumptions!$F$11-Assumptions!$F$10)*(AL3-24)/12))</f>
        <v/>
      </c>
    </row>
    <row r="10">
      <c r="B10" s="2" t="inlineStr">
        <is>
          <t>Of which on a 2-a-week plan</t>
        </is>
      </c>
      <c r="C10" s="6">
        <f>C9*Assumptions!$F$13</f>
        <v/>
      </c>
      <c r="D10" s="6">
        <f>D9*Assumptions!$F$13</f>
        <v/>
      </c>
      <c r="E10" s="6">
        <f>E9*Assumptions!$F$13</f>
        <v/>
      </c>
      <c r="F10" s="6">
        <f>F9*Assumptions!$F$13</f>
        <v/>
      </c>
      <c r="G10" s="6">
        <f>G9*Assumptions!$F$13</f>
        <v/>
      </c>
      <c r="H10" s="6">
        <f>H9*Assumptions!$F$13</f>
        <v/>
      </c>
      <c r="I10" s="6">
        <f>I9*Assumptions!$F$13</f>
        <v/>
      </c>
      <c r="J10" s="6">
        <f>J9*Assumptions!$F$13</f>
        <v/>
      </c>
      <c r="K10" s="6">
        <f>K9*Assumptions!$F$13</f>
        <v/>
      </c>
      <c r="L10" s="6">
        <f>L9*Assumptions!$F$13</f>
        <v/>
      </c>
      <c r="M10" s="6">
        <f>M9*Assumptions!$F$13</f>
        <v/>
      </c>
      <c r="N10" s="6">
        <f>N9*Assumptions!$F$13</f>
        <v/>
      </c>
      <c r="O10" s="6">
        <f>O9*Assumptions!$F$13</f>
        <v/>
      </c>
      <c r="P10" s="6">
        <f>P9*Assumptions!$F$13</f>
        <v/>
      </c>
      <c r="Q10" s="6">
        <f>Q9*Assumptions!$F$13</f>
        <v/>
      </c>
      <c r="R10" s="6">
        <f>R9*Assumptions!$F$13</f>
        <v/>
      </c>
      <c r="S10" s="6">
        <f>S9*Assumptions!$F$13</f>
        <v/>
      </c>
      <c r="T10" s="6">
        <f>T9*Assumptions!$F$13</f>
        <v/>
      </c>
      <c r="U10" s="6">
        <f>U9*Assumptions!$F$13</f>
        <v/>
      </c>
      <c r="V10" s="6">
        <f>V9*Assumptions!$F$13</f>
        <v/>
      </c>
      <c r="W10" s="6">
        <f>W9*Assumptions!$F$13</f>
        <v/>
      </c>
      <c r="X10" s="6">
        <f>X9*Assumptions!$F$13</f>
        <v/>
      </c>
      <c r="Y10" s="6">
        <f>Y9*Assumptions!$F$13</f>
        <v/>
      </c>
      <c r="Z10" s="6">
        <f>Z9*Assumptions!$F$13</f>
        <v/>
      </c>
      <c r="AA10" s="6">
        <f>AA9*Assumptions!$F$13</f>
        <v/>
      </c>
      <c r="AB10" s="6">
        <f>AB9*Assumptions!$F$13</f>
        <v/>
      </c>
      <c r="AC10" s="6">
        <f>AC9*Assumptions!$F$13</f>
        <v/>
      </c>
      <c r="AD10" s="6">
        <f>AD9*Assumptions!$F$13</f>
        <v/>
      </c>
      <c r="AE10" s="6">
        <f>AE9*Assumptions!$F$13</f>
        <v/>
      </c>
      <c r="AF10" s="6">
        <f>AF9*Assumptions!$F$13</f>
        <v/>
      </c>
      <c r="AG10" s="6">
        <f>AG9*Assumptions!$F$13</f>
        <v/>
      </c>
      <c r="AH10" s="6">
        <f>AH9*Assumptions!$F$13</f>
        <v/>
      </c>
      <c r="AI10" s="6">
        <f>AI9*Assumptions!$F$13</f>
        <v/>
      </c>
      <c r="AJ10" s="6">
        <f>AJ9*Assumptions!$F$13</f>
        <v/>
      </c>
      <c r="AK10" s="6">
        <f>AK9*Assumptions!$F$13</f>
        <v/>
      </c>
      <c r="AL10" s="6">
        <f>AL9*Assumptions!$F$13</f>
        <v/>
      </c>
    </row>
    <row r="11">
      <c r="B11" s="2" t="inlineStr">
        <is>
          <t>Of which on a 3-a-week plan</t>
        </is>
      </c>
      <c r="C11" s="6">
        <f>C9*Assumptions!$F$15</f>
        <v/>
      </c>
      <c r="D11" s="6">
        <f>D9*Assumptions!$F$15</f>
        <v/>
      </c>
      <c r="E11" s="6">
        <f>E9*Assumptions!$F$15</f>
        <v/>
      </c>
      <c r="F11" s="6">
        <f>F9*Assumptions!$F$15</f>
        <v/>
      </c>
      <c r="G11" s="6">
        <f>G9*Assumptions!$F$15</f>
        <v/>
      </c>
      <c r="H11" s="6">
        <f>H9*Assumptions!$F$15</f>
        <v/>
      </c>
      <c r="I11" s="6">
        <f>I9*Assumptions!$F$15</f>
        <v/>
      </c>
      <c r="J11" s="6">
        <f>J9*Assumptions!$F$15</f>
        <v/>
      </c>
      <c r="K11" s="6">
        <f>K9*Assumptions!$F$15</f>
        <v/>
      </c>
      <c r="L11" s="6">
        <f>L9*Assumptions!$F$15</f>
        <v/>
      </c>
      <c r="M11" s="6">
        <f>M9*Assumptions!$F$15</f>
        <v/>
      </c>
      <c r="N11" s="6">
        <f>N9*Assumptions!$F$15</f>
        <v/>
      </c>
      <c r="O11" s="6">
        <f>O9*Assumptions!$F$15</f>
        <v/>
      </c>
      <c r="P11" s="6">
        <f>P9*Assumptions!$F$15</f>
        <v/>
      </c>
      <c r="Q11" s="6">
        <f>Q9*Assumptions!$F$15</f>
        <v/>
      </c>
      <c r="R11" s="6">
        <f>R9*Assumptions!$F$15</f>
        <v/>
      </c>
      <c r="S11" s="6">
        <f>S9*Assumptions!$F$15</f>
        <v/>
      </c>
      <c r="T11" s="6">
        <f>T9*Assumptions!$F$15</f>
        <v/>
      </c>
      <c r="U11" s="6">
        <f>U9*Assumptions!$F$15</f>
        <v/>
      </c>
      <c r="V11" s="6">
        <f>V9*Assumptions!$F$15</f>
        <v/>
      </c>
      <c r="W11" s="6">
        <f>W9*Assumptions!$F$15</f>
        <v/>
      </c>
      <c r="X11" s="6">
        <f>X9*Assumptions!$F$15</f>
        <v/>
      </c>
      <c r="Y11" s="6">
        <f>Y9*Assumptions!$F$15</f>
        <v/>
      </c>
      <c r="Z11" s="6">
        <f>Z9*Assumptions!$F$15</f>
        <v/>
      </c>
      <c r="AA11" s="6">
        <f>AA9*Assumptions!$F$15</f>
        <v/>
      </c>
      <c r="AB11" s="6">
        <f>AB9*Assumptions!$F$15</f>
        <v/>
      </c>
      <c r="AC11" s="6">
        <f>AC9*Assumptions!$F$15</f>
        <v/>
      </c>
      <c r="AD11" s="6">
        <f>AD9*Assumptions!$F$15</f>
        <v/>
      </c>
      <c r="AE11" s="6">
        <f>AE9*Assumptions!$F$15</f>
        <v/>
      </c>
      <c r="AF11" s="6">
        <f>AF9*Assumptions!$F$15</f>
        <v/>
      </c>
      <c r="AG11" s="6">
        <f>AG9*Assumptions!$F$15</f>
        <v/>
      </c>
      <c r="AH11" s="6">
        <f>AH9*Assumptions!$F$15</f>
        <v/>
      </c>
      <c r="AI11" s="6">
        <f>AI9*Assumptions!$F$15</f>
        <v/>
      </c>
      <c r="AJ11" s="6">
        <f>AJ9*Assumptions!$F$15</f>
        <v/>
      </c>
      <c r="AK11" s="6">
        <f>AK9*Assumptions!$F$15</f>
        <v/>
      </c>
      <c r="AL11" s="6">
        <f>AL9*Assumptions!$F$15</f>
        <v/>
      </c>
    </row>
    <row r="12">
      <c r="B12" s="2" t="inlineStr">
        <is>
          <t>New joiners (growth + replacing leavers)</t>
        </is>
      </c>
      <c r="C12" s="33">
        <f>MAX(0,C9-Assumptions!$F$8)+Assumptions!$F$18*Assumptions!$F$8</f>
        <v/>
      </c>
      <c r="D12" s="33">
        <f>MAX(0,D9-C9)+Assumptions!$F$18*C9</f>
        <v/>
      </c>
      <c r="E12" s="33">
        <f>MAX(0,E9-D9)+Assumptions!$F$18*D9</f>
        <v/>
      </c>
      <c r="F12" s="33">
        <f>MAX(0,F9-E9)+Assumptions!$F$18*E9</f>
        <v/>
      </c>
      <c r="G12" s="33">
        <f>MAX(0,G9-F9)+Assumptions!$F$18*F9</f>
        <v/>
      </c>
      <c r="H12" s="33">
        <f>MAX(0,H9-G9)+Assumptions!$F$18*G9</f>
        <v/>
      </c>
      <c r="I12" s="33">
        <f>MAX(0,I9-H9)+Assumptions!$F$18*H9</f>
        <v/>
      </c>
      <c r="J12" s="33">
        <f>MAX(0,J9-I9)+Assumptions!$F$18*I9</f>
        <v/>
      </c>
      <c r="K12" s="33">
        <f>MAX(0,K9-J9)+Assumptions!$F$18*J9</f>
        <v/>
      </c>
      <c r="L12" s="33">
        <f>MAX(0,L9-K9)+Assumptions!$F$18*K9</f>
        <v/>
      </c>
      <c r="M12" s="33">
        <f>MAX(0,M9-L9)+Assumptions!$F$18*L9</f>
        <v/>
      </c>
      <c r="N12" s="33">
        <f>MAX(0,N9-M9)+Assumptions!$F$18*M9</f>
        <v/>
      </c>
      <c r="O12" s="33">
        <f>MAX(0,O9-N9)+Assumptions!$F$18*N9</f>
        <v/>
      </c>
      <c r="P12" s="33">
        <f>MAX(0,P9-O9)+Assumptions!$F$18*O9</f>
        <v/>
      </c>
      <c r="Q12" s="33">
        <f>MAX(0,Q9-P9)+Assumptions!$F$18*P9</f>
        <v/>
      </c>
      <c r="R12" s="33">
        <f>MAX(0,R9-Q9)+Assumptions!$F$18*Q9</f>
        <v/>
      </c>
      <c r="S12" s="33">
        <f>MAX(0,S9-R9)+Assumptions!$F$18*R9</f>
        <v/>
      </c>
      <c r="T12" s="33">
        <f>MAX(0,T9-S9)+Assumptions!$F$18*S9</f>
        <v/>
      </c>
      <c r="U12" s="33">
        <f>MAX(0,U9-T9)+Assumptions!$F$18*T9</f>
        <v/>
      </c>
      <c r="V12" s="33">
        <f>MAX(0,V9-U9)+Assumptions!$F$18*U9</f>
        <v/>
      </c>
      <c r="W12" s="33">
        <f>MAX(0,W9-V9)+Assumptions!$F$18*V9</f>
        <v/>
      </c>
      <c r="X12" s="33">
        <f>MAX(0,X9-W9)+Assumptions!$F$18*W9</f>
        <v/>
      </c>
      <c r="Y12" s="33">
        <f>MAX(0,Y9-X9)+Assumptions!$F$18*X9</f>
        <v/>
      </c>
      <c r="Z12" s="33">
        <f>MAX(0,Z9-Y9)+Assumptions!$F$18*Y9</f>
        <v/>
      </c>
      <c r="AA12" s="33">
        <f>MAX(0,AA9-Z9)+Assumptions!$F$18*Z9</f>
        <v/>
      </c>
      <c r="AB12" s="33">
        <f>MAX(0,AB9-AA9)+Assumptions!$F$18*AA9</f>
        <v/>
      </c>
      <c r="AC12" s="33">
        <f>MAX(0,AC9-AB9)+Assumptions!$F$18*AB9</f>
        <v/>
      </c>
      <c r="AD12" s="33">
        <f>MAX(0,AD9-AC9)+Assumptions!$F$18*AC9</f>
        <v/>
      </c>
      <c r="AE12" s="33">
        <f>MAX(0,AE9-AD9)+Assumptions!$F$18*AD9</f>
        <v/>
      </c>
      <c r="AF12" s="33">
        <f>MAX(0,AF9-AE9)+Assumptions!$F$18*AE9</f>
        <v/>
      </c>
      <c r="AG12" s="33">
        <f>MAX(0,AG9-AF9)+Assumptions!$F$18*AF9</f>
        <v/>
      </c>
      <c r="AH12" s="33">
        <f>MAX(0,AH9-AG9)+Assumptions!$F$18*AG9</f>
        <v/>
      </c>
      <c r="AI12" s="33">
        <f>MAX(0,AI9-AH9)+Assumptions!$F$18*AH9</f>
        <v/>
      </c>
      <c r="AJ12" s="33">
        <f>MAX(0,AJ9-AI9)+Assumptions!$F$18*AI9</f>
        <v/>
      </c>
      <c r="AK12" s="33">
        <f>MAX(0,AK9-AJ9)+Assumptions!$F$18*AJ9</f>
        <v/>
      </c>
      <c r="AL12" s="33">
        <f>MAX(0,AL9-AK9)+Assumptions!$F$18*AK9</f>
        <v/>
      </c>
    </row>
    <row r="13">
      <c r="B13" s="2" t="inlineStr">
        <is>
          <t>Class sessions a week</t>
        </is>
      </c>
      <c r="C13" s="6">
        <f>ROUNDUP((C9+C10+2*C11)/Assumptions!$F$19,0)</f>
        <v/>
      </c>
      <c r="D13" s="6">
        <f>ROUNDUP((D9+D10+2*D11)/Assumptions!$F$19,0)</f>
        <v/>
      </c>
      <c r="E13" s="6">
        <f>ROUNDUP((E9+E10+2*E11)/Assumptions!$F$19,0)</f>
        <v/>
      </c>
      <c r="F13" s="6">
        <f>ROUNDUP((F9+F10+2*F11)/Assumptions!$F$19,0)</f>
        <v/>
      </c>
      <c r="G13" s="6">
        <f>ROUNDUP((G9+G10+2*G11)/Assumptions!$F$19,0)</f>
        <v/>
      </c>
      <c r="H13" s="6">
        <f>ROUNDUP((H9+H10+2*H11)/Assumptions!$F$19,0)</f>
        <v/>
      </c>
      <c r="I13" s="6">
        <f>ROUNDUP((I9+I10+2*I11)/Assumptions!$F$19,0)</f>
        <v/>
      </c>
      <c r="J13" s="6">
        <f>ROUNDUP((J9+J10+2*J11)/Assumptions!$F$19,0)</f>
        <v/>
      </c>
      <c r="K13" s="6">
        <f>ROUNDUP((K9+K10+2*K11)/Assumptions!$F$19,0)</f>
        <v/>
      </c>
      <c r="L13" s="6">
        <f>ROUNDUP((L9+L10+2*L11)/Assumptions!$F$19,0)</f>
        <v/>
      </c>
      <c r="M13" s="6">
        <f>ROUNDUP((M9+M10+2*M11)/Assumptions!$F$19,0)</f>
        <v/>
      </c>
      <c r="N13" s="6">
        <f>ROUNDUP((N9+N10+2*N11)/Assumptions!$F$19,0)</f>
        <v/>
      </c>
      <c r="O13" s="6">
        <f>ROUNDUP((O9+O10+2*O11)/Assumptions!$F$19,0)</f>
        <v/>
      </c>
      <c r="P13" s="6">
        <f>ROUNDUP((P9+P10+2*P11)/Assumptions!$F$19,0)</f>
        <v/>
      </c>
      <c r="Q13" s="6">
        <f>ROUNDUP((Q9+Q10+2*Q11)/Assumptions!$F$19,0)</f>
        <v/>
      </c>
      <c r="R13" s="6">
        <f>ROUNDUP((R9+R10+2*R11)/Assumptions!$F$19,0)</f>
        <v/>
      </c>
      <c r="S13" s="6">
        <f>ROUNDUP((S9+S10+2*S11)/Assumptions!$F$19,0)</f>
        <v/>
      </c>
      <c r="T13" s="6">
        <f>ROUNDUP((T9+T10+2*T11)/Assumptions!$F$19,0)</f>
        <v/>
      </c>
      <c r="U13" s="6">
        <f>ROUNDUP((U9+U10+2*U11)/Assumptions!$F$19,0)</f>
        <v/>
      </c>
      <c r="V13" s="6">
        <f>ROUNDUP((V9+V10+2*V11)/Assumptions!$F$19,0)</f>
        <v/>
      </c>
      <c r="W13" s="6">
        <f>ROUNDUP((W9+W10+2*W11)/Assumptions!$F$19,0)</f>
        <v/>
      </c>
      <c r="X13" s="6">
        <f>ROUNDUP((X9+X10+2*X11)/Assumptions!$F$19,0)</f>
        <v/>
      </c>
      <c r="Y13" s="6">
        <f>ROUNDUP((Y9+Y10+2*Y11)/Assumptions!$F$19,0)</f>
        <v/>
      </c>
      <c r="Z13" s="6">
        <f>ROUNDUP((Z9+Z10+2*Z11)/Assumptions!$F$19,0)</f>
        <v/>
      </c>
      <c r="AA13" s="6">
        <f>ROUNDUP((AA9+AA10+2*AA11)/Assumptions!$F$19,0)</f>
        <v/>
      </c>
      <c r="AB13" s="6">
        <f>ROUNDUP((AB9+AB10+2*AB11)/Assumptions!$F$19,0)</f>
        <v/>
      </c>
      <c r="AC13" s="6">
        <f>ROUNDUP((AC9+AC10+2*AC11)/Assumptions!$F$19,0)</f>
        <v/>
      </c>
      <c r="AD13" s="6">
        <f>ROUNDUP((AD9+AD10+2*AD11)/Assumptions!$F$19,0)</f>
        <v/>
      </c>
      <c r="AE13" s="6">
        <f>ROUNDUP((AE9+AE10+2*AE11)/Assumptions!$F$19,0)</f>
        <v/>
      </c>
      <c r="AF13" s="6">
        <f>ROUNDUP((AF9+AF10+2*AF11)/Assumptions!$F$19,0)</f>
        <v/>
      </c>
      <c r="AG13" s="6">
        <f>ROUNDUP((AG9+AG10+2*AG11)/Assumptions!$F$19,0)</f>
        <v/>
      </c>
      <c r="AH13" s="6">
        <f>ROUNDUP((AH9+AH10+2*AH11)/Assumptions!$F$19,0)</f>
        <v/>
      </c>
      <c r="AI13" s="6">
        <f>ROUNDUP((AI9+AI10+2*AI11)/Assumptions!$F$19,0)</f>
        <v/>
      </c>
      <c r="AJ13" s="6">
        <f>ROUNDUP((AJ9+AJ10+2*AJ11)/Assumptions!$F$19,0)</f>
        <v/>
      </c>
      <c r="AK13" s="6">
        <f>ROUNDUP((AK9+AK10+2*AK11)/Assumptions!$F$19,0)</f>
        <v/>
      </c>
      <c r="AL13" s="6">
        <f>ROUNDUP((AL9+AL10+2*AL11)/Assumptions!$F$19,0)</f>
        <v/>
      </c>
    </row>
    <row r="15">
      <c r="B15" s="15" t="inlineStr">
        <is>
          <t>INCOME (after Flat Rate VAT)</t>
        </is>
      </c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</row>
    <row r="16">
      <c r="B16" s="2" t="inlineStr">
        <is>
          <t>Memberships</t>
        </is>
      </c>
      <c r="C16" s="8">
        <f>C9*Assumptions!$F$12*(1-Assumptions!$F$21)</f>
        <v/>
      </c>
      <c r="D16" s="8">
        <f>D9*Assumptions!$F$12*(1-Assumptions!$F$21)</f>
        <v/>
      </c>
      <c r="E16" s="8">
        <f>E9*Assumptions!$F$12*(1-Assumptions!$F$21)</f>
        <v/>
      </c>
      <c r="F16" s="8">
        <f>F9*Assumptions!$F$12*(1-Assumptions!$F$21)</f>
        <v/>
      </c>
      <c r="G16" s="8">
        <f>G9*Assumptions!$F$12*(1-Assumptions!$F$21)</f>
        <v/>
      </c>
      <c r="H16" s="8">
        <f>H9*Assumptions!$F$12*(1-Assumptions!$F$21)</f>
        <v/>
      </c>
      <c r="I16" s="8">
        <f>I9*Assumptions!$F$12*(1-Assumptions!$F$21)</f>
        <v/>
      </c>
      <c r="J16" s="8">
        <f>J9*Assumptions!$F$12*(1-Assumptions!$F$21)</f>
        <v/>
      </c>
      <c r="K16" s="8">
        <f>K9*Assumptions!$F$12*(1-Assumptions!$F$21)</f>
        <v/>
      </c>
      <c r="L16" s="8">
        <f>L9*Assumptions!$F$12*(1-Assumptions!$F$21)</f>
        <v/>
      </c>
      <c r="M16" s="8">
        <f>M9*Assumptions!$F$12*(1-Assumptions!$F$21)</f>
        <v/>
      </c>
      <c r="N16" s="8">
        <f>N9*Assumptions!$F$12*(1-Assumptions!$F$21)</f>
        <v/>
      </c>
      <c r="O16" s="8">
        <f>O9*Assumptions!$F$12*(1-Assumptions!$F$21)</f>
        <v/>
      </c>
      <c r="P16" s="8">
        <f>P9*Assumptions!$F$12*(1-Assumptions!$F$21)</f>
        <v/>
      </c>
      <c r="Q16" s="8">
        <f>Q9*Assumptions!$F$12*(1-Assumptions!$F$21)</f>
        <v/>
      </c>
      <c r="R16" s="8">
        <f>R9*Assumptions!$F$12*(1-Assumptions!$F$21)</f>
        <v/>
      </c>
      <c r="S16" s="8">
        <f>S9*Assumptions!$F$12*(1-Assumptions!$F$21)</f>
        <v/>
      </c>
      <c r="T16" s="8">
        <f>T9*Assumptions!$F$12*(1-Assumptions!$F$21)</f>
        <v/>
      </c>
      <c r="U16" s="8">
        <f>U9*Assumptions!$F$12*(1-Assumptions!$F$21)</f>
        <v/>
      </c>
      <c r="V16" s="8">
        <f>V9*Assumptions!$F$12*(1-Assumptions!$F$21)</f>
        <v/>
      </c>
      <c r="W16" s="8">
        <f>W9*Assumptions!$F$12*(1-Assumptions!$F$21)</f>
        <v/>
      </c>
      <c r="X16" s="8">
        <f>X9*Assumptions!$F$12*(1-Assumptions!$F$21)</f>
        <v/>
      </c>
      <c r="Y16" s="8">
        <f>Y9*Assumptions!$F$12*(1-Assumptions!$F$21)</f>
        <v/>
      </c>
      <c r="Z16" s="8">
        <f>Z9*Assumptions!$F$12*(1-Assumptions!$F$21)</f>
        <v/>
      </c>
      <c r="AA16" s="8">
        <f>AA9*Assumptions!$F$12*(1-Assumptions!$F$21)</f>
        <v/>
      </c>
      <c r="AB16" s="8">
        <f>AB9*Assumptions!$F$12*(1-Assumptions!$F$21)</f>
        <v/>
      </c>
      <c r="AC16" s="8">
        <f>AC9*Assumptions!$F$12*(1-Assumptions!$F$21)</f>
        <v/>
      </c>
      <c r="AD16" s="8">
        <f>AD9*Assumptions!$F$12*(1-Assumptions!$F$21)</f>
        <v/>
      </c>
      <c r="AE16" s="8">
        <f>AE9*Assumptions!$F$12*(1-Assumptions!$F$21)</f>
        <v/>
      </c>
      <c r="AF16" s="8">
        <f>AF9*Assumptions!$F$12*(1-Assumptions!$F$21)</f>
        <v/>
      </c>
      <c r="AG16" s="8">
        <f>AG9*Assumptions!$F$12*(1-Assumptions!$F$21)</f>
        <v/>
      </c>
      <c r="AH16" s="8">
        <f>AH9*Assumptions!$F$12*(1-Assumptions!$F$21)</f>
        <v/>
      </c>
      <c r="AI16" s="8">
        <f>AI9*Assumptions!$F$12*(1-Assumptions!$F$21)</f>
        <v/>
      </c>
      <c r="AJ16" s="8">
        <f>AJ9*Assumptions!$F$12*(1-Assumptions!$F$21)</f>
        <v/>
      </c>
      <c r="AK16" s="8">
        <f>AK9*Assumptions!$F$12*(1-Assumptions!$F$21)</f>
        <v/>
      </c>
      <c r="AL16" s="8">
        <f>AL9*Assumptions!$F$12*(1-Assumptions!$F$21)</f>
        <v/>
      </c>
    </row>
    <row r="17">
      <c r="B17" s="2" t="inlineStr">
        <is>
          <t>2-a-week plans</t>
        </is>
      </c>
      <c r="C17" s="8">
        <f>C10*Assumptions!$F$14*(1-Assumptions!$F$21)</f>
        <v/>
      </c>
      <c r="D17" s="8">
        <f>D10*Assumptions!$F$14*(1-Assumptions!$F$21)</f>
        <v/>
      </c>
      <c r="E17" s="8">
        <f>E10*Assumptions!$F$14*(1-Assumptions!$F$21)</f>
        <v/>
      </c>
      <c r="F17" s="8">
        <f>F10*Assumptions!$F$14*(1-Assumptions!$F$21)</f>
        <v/>
      </c>
      <c r="G17" s="8">
        <f>G10*Assumptions!$F$14*(1-Assumptions!$F$21)</f>
        <v/>
      </c>
      <c r="H17" s="8">
        <f>H10*Assumptions!$F$14*(1-Assumptions!$F$21)</f>
        <v/>
      </c>
      <c r="I17" s="8">
        <f>I10*Assumptions!$F$14*(1-Assumptions!$F$21)</f>
        <v/>
      </c>
      <c r="J17" s="8">
        <f>J10*Assumptions!$F$14*(1-Assumptions!$F$21)</f>
        <v/>
      </c>
      <c r="K17" s="8">
        <f>K10*Assumptions!$F$14*(1-Assumptions!$F$21)</f>
        <v/>
      </c>
      <c r="L17" s="8">
        <f>L10*Assumptions!$F$14*(1-Assumptions!$F$21)</f>
        <v/>
      </c>
      <c r="M17" s="8">
        <f>M10*Assumptions!$F$14*(1-Assumptions!$F$21)</f>
        <v/>
      </c>
      <c r="N17" s="8">
        <f>N10*Assumptions!$F$14*(1-Assumptions!$F$21)</f>
        <v/>
      </c>
      <c r="O17" s="8">
        <f>O10*Assumptions!$F$14*(1-Assumptions!$F$21)</f>
        <v/>
      </c>
      <c r="P17" s="8">
        <f>P10*Assumptions!$F$14*(1-Assumptions!$F$21)</f>
        <v/>
      </c>
      <c r="Q17" s="8">
        <f>Q10*Assumptions!$F$14*(1-Assumptions!$F$21)</f>
        <v/>
      </c>
      <c r="R17" s="8">
        <f>R10*Assumptions!$F$14*(1-Assumptions!$F$21)</f>
        <v/>
      </c>
      <c r="S17" s="8">
        <f>S10*Assumptions!$F$14*(1-Assumptions!$F$21)</f>
        <v/>
      </c>
      <c r="T17" s="8">
        <f>T10*Assumptions!$F$14*(1-Assumptions!$F$21)</f>
        <v/>
      </c>
      <c r="U17" s="8">
        <f>U10*Assumptions!$F$14*(1-Assumptions!$F$21)</f>
        <v/>
      </c>
      <c r="V17" s="8">
        <f>V10*Assumptions!$F$14*(1-Assumptions!$F$21)</f>
        <v/>
      </c>
      <c r="W17" s="8">
        <f>W10*Assumptions!$F$14*(1-Assumptions!$F$21)</f>
        <v/>
      </c>
      <c r="X17" s="8">
        <f>X10*Assumptions!$F$14*(1-Assumptions!$F$21)</f>
        <v/>
      </c>
      <c r="Y17" s="8">
        <f>Y10*Assumptions!$F$14*(1-Assumptions!$F$21)</f>
        <v/>
      </c>
      <c r="Z17" s="8">
        <f>Z10*Assumptions!$F$14*(1-Assumptions!$F$21)</f>
        <v/>
      </c>
      <c r="AA17" s="8">
        <f>AA10*Assumptions!$F$14*(1-Assumptions!$F$21)</f>
        <v/>
      </c>
      <c r="AB17" s="8">
        <f>AB10*Assumptions!$F$14*(1-Assumptions!$F$21)</f>
        <v/>
      </c>
      <c r="AC17" s="8">
        <f>AC10*Assumptions!$F$14*(1-Assumptions!$F$21)</f>
        <v/>
      </c>
      <c r="AD17" s="8">
        <f>AD10*Assumptions!$F$14*(1-Assumptions!$F$21)</f>
        <v/>
      </c>
      <c r="AE17" s="8">
        <f>AE10*Assumptions!$F$14*(1-Assumptions!$F$21)</f>
        <v/>
      </c>
      <c r="AF17" s="8">
        <f>AF10*Assumptions!$F$14*(1-Assumptions!$F$21)</f>
        <v/>
      </c>
      <c r="AG17" s="8">
        <f>AG10*Assumptions!$F$14*(1-Assumptions!$F$21)</f>
        <v/>
      </c>
      <c r="AH17" s="8">
        <f>AH10*Assumptions!$F$14*(1-Assumptions!$F$21)</f>
        <v/>
      </c>
      <c r="AI17" s="8">
        <f>AI10*Assumptions!$F$14*(1-Assumptions!$F$21)</f>
        <v/>
      </c>
      <c r="AJ17" s="8">
        <f>AJ10*Assumptions!$F$14*(1-Assumptions!$F$21)</f>
        <v/>
      </c>
      <c r="AK17" s="8">
        <f>AK10*Assumptions!$F$14*(1-Assumptions!$F$21)</f>
        <v/>
      </c>
      <c r="AL17" s="8">
        <f>AL10*Assumptions!$F$14*(1-Assumptions!$F$21)</f>
        <v/>
      </c>
    </row>
    <row r="18">
      <c r="B18" s="2" t="inlineStr">
        <is>
          <t>3-a-week plans</t>
        </is>
      </c>
      <c r="C18" s="8">
        <f>C11*Assumptions!$F$16*(1-Assumptions!$F$21)</f>
        <v/>
      </c>
      <c r="D18" s="8">
        <f>D11*Assumptions!$F$16*(1-Assumptions!$F$21)</f>
        <v/>
      </c>
      <c r="E18" s="8">
        <f>E11*Assumptions!$F$16*(1-Assumptions!$F$21)</f>
        <v/>
      </c>
      <c r="F18" s="8">
        <f>F11*Assumptions!$F$16*(1-Assumptions!$F$21)</f>
        <v/>
      </c>
      <c r="G18" s="8">
        <f>G11*Assumptions!$F$16*(1-Assumptions!$F$21)</f>
        <v/>
      </c>
      <c r="H18" s="8">
        <f>H11*Assumptions!$F$16*(1-Assumptions!$F$21)</f>
        <v/>
      </c>
      <c r="I18" s="8">
        <f>I11*Assumptions!$F$16*(1-Assumptions!$F$21)</f>
        <v/>
      </c>
      <c r="J18" s="8">
        <f>J11*Assumptions!$F$16*(1-Assumptions!$F$21)</f>
        <v/>
      </c>
      <c r="K18" s="8">
        <f>K11*Assumptions!$F$16*(1-Assumptions!$F$21)</f>
        <v/>
      </c>
      <c r="L18" s="8">
        <f>L11*Assumptions!$F$16*(1-Assumptions!$F$21)</f>
        <v/>
      </c>
      <c r="M18" s="8">
        <f>M11*Assumptions!$F$16*(1-Assumptions!$F$21)</f>
        <v/>
      </c>
      <c r="N18" s="8">
        <f>N11*Assumptions!$F$16*(1-Assumptions!$F$21)</f>
        <v/>
      </c>
      <c r="O18" s="8">
        <f>O11*Assumptions!$F$16*(1-Assumptions!$F$21)</f>
        <v/>
      </c>
      <c r="P18" s="8">
        <f>P11*Assumptions!$F$16*(1-Assumptions!$F$21)</f>
        <v/>
      </c>
      <c r="Q18" s="8">
        <f>Q11*Assumptions!$F$16*(1-Assumptions!$F$21)</f>
        <v/>
      </c>
      <c r="R18" s="8">
        <f>R11*Assumptions!$F$16*(1-Assumptions!$F$21)</f>
        <v/>
      </c>
      <c r="S18" s="8">
        <f>S11*Assumptions!$F$16*(1-Assumptions!$F$21)</f>
        <v/>
      </c>
      <c r="T18" s="8">
        <f>T11*Assumptions!$F$16*(1-Assumptions!$F$21)</f>
        <v/>
      </c>
      <c r="U18" s="8">
        <f>U11*Assumptions!$F$16*(1-Assumptions!$F$21)</f>
        <v/>
      </c>
      <c r="V18" s="8">
        <f>V11*Assumptions!$F$16*(1-Assumptions!$F$21)</f>
        <v/>
      </c>
      <c r="W18" s="8">
        <f>W11*Assumptions!$F$16*(1-Assumptions!$F$21)</f>
        <v/>
      </c>
      <c r="X18" s="8">
        <f>X11*Assumptions!$F$16*(1-Assumptions!$F$21)</f>
        <v/>
      </c>
      <c r="Y18" s="8">
        <f>Y11*Assumptions!$F$16*(1-Assumptions!$F$21)</f>
        <v/>
      </c>
      <c r="Z18" s="8">
        <f>Z11*Assumptions!$F$16*(1-Assumptions!$F$21)</f>
        <v/>
      </c>
      <c r="AA18" s="8">
        <f>AA11*Assumptions!$F$16*(1-Assumptions!$F$21)</f>
        <v/>
      </c>
      <c r="AB18" s="8">
        <f>AB11*Assumptions!$F$16*(1-Assumptions!$F$21)</f>
        <v/>
      </c>
      <c r="AC18" s="8">
        <f>AC11*Assumptions!$F$16*(1-Assumptions!$F$21)</f>
        <v/>
      </c>
      <c r="AD18" s="8">
        <f>AD11*Assumptions!$F$16*(1-Assumptions!$F$21)</f>
        <v/>
      </c>
      <c r="AE18" s="8">
        <f>AE11*Assumptions!$F$16*(1-Assumptions!$F$21)</f>
        <v/>
      </c>
      <c r="AF18" s="8">
        <f>AF11*Assumptions!$F$16*(1-Assumptions!$F$21)</f>
        <v/>
      </c>
      <c r="AG18" s="8">
        <f>AG11*Assumptions!$F$16*(1-Assumptions!$F$21)</f>
        <v/>
      </c>
      <c r="AH18" s="8">
        <f>AH11*Assumptions!$F$16*(1-Assumptions!$F$21)</f>
        <v/>
      </c>
      <c r="AI18" s="8">
        <f>AI11*Assumptions!$F$16*(1-Assumptions!$F$21)</f>
        <v/>
      </c>
      <c r="AJ18" s="8">
        <f>AJ11*Assumptions!$F$16*(1-Assumptions!$F$21)</f>
        <v/>
      </c>
      <c r="AK18" s="8">
        <f>AK11*Assumptions!$F$16*(1-Assumptions!$F$21)</f>
        <v/>
      </c>
      <c r="AL18" s="8">
        <f>AL11*Assumptions!$F$16*(1-Assumptions!$F$21)</f>
        <v/>
      </c>
    </row>
    <row r="19">
      <c r="B19" s="2" t="inlineStr">
        <is>
          <t>Joining fees</t>
        </is>
      </c>
      <c r="C19" s="8">
        <f>C12*Assumptions!$F$17*(1-Assumptions!$F$21)</f>
        <v/>
      </c>
      <c r="D19" s="8">
        <f>D12*Assumptions!$F$17*(1-Assumptions!$F$21)</f>
        <v/>
      </c>
      <c r="E19" s="8">
        <f>E12*Assumptions!$F$17*(1-Assumptions!$F$21)</f>
        <v/>
      </c>
      <c r="F19" s="8">
        <f>F12*Assumptions!$F$17*(1-Assumptions!$F$21)</f>
        <v/>
      </c>
      <c r="G19" s="8">
        <f>G12*Assumptions!$F$17*(1-Assumptions!$F$21)</f>
        <v/>
      </c>
      <c r="H19" s="8">
        <f>H12*Assumptions!$F$17*(1-Assumptions!$F$21)</f>
        <v/>
      </c>
      <c r="I19" s="8">
        <f>I12*Assumptions!$F$17*(1-Assumptions!$F$21)</f>
        <v/>
      </c>
      <c r="J19" s="8">
        <f>J12*Assumptions!$F$17*(1-Assumptions!$F$21)</f>
        <v/>
      </c>
      <c r="K19" s="8">
        <f>K12*Assumptions!$F$17*(1-Assumptions!$F$21)</f>
        <v/>
      </c>
      <c r="L19" s="8">
        <f>L12*Assumptions!$F$17*(1-Assumptions!$F$21)</f>
        <v/>
      </c>
      <c r="M19" s="8">
        <f>M12*Assumptions!$F$17*(1-Assumptions!$F$21)</f>
        <v/>
      </c>
      <c r="N19" s="8">
        <f>N12*Assumptions!$F$17*(1-Assumptions!$F$21)</f>
        <v/>
      </c>
      <c r="O19" s="8">
        <f>O12*Assumptions!$F$17*(1-Assumptions!$F$21)</f>
        <v/>
      </c>
      <c r="P19" s="8">
        <f>P12*Assumptions!$F$17*(1-Assumptions!$F$21)</f>
        <v/>
      </c>
      <c r="Q19" s="8">
        <f>Q12*Assumptions!$F$17*(1-Assumptions!$F$21)</f>
        <v/>
      </c>
      <c r="R19" s="8">
        <f>R12*Assumptions!$F$17*(1-Assumptions!$F$21)</f>
        <v/>
      </c>
      <c r="S19" s="8">
        <f>S12*Assumptions!$F$17*(1-Assumptions!$F$21)</f>
        <v/>
      </c>
      <c r="T19" s="8">
        <f>T12*Assumptions!$F$17*(1-Assumptions!$F$21)</f>
        <v/>
      </c>
      <c r="U19" s="8">
        <f>U12*Assumptions!$F$17*(1-Assumptions!$F$21)</f>
        <v/>
      </c>
      <c r="V19" s="8">
        <f>V12*Assumptions!$F$17*(1-Assumptions!$F$21)</f>
        <v/>
      </c>
      <c r="W19" s="8">
        <f>W12*Assumptions!$F$17*(1-Assumptions!$F$21)</f>
        <v/>
      </c>
      <c r="X19" s="8">
        <f>X12*Assumptions!$F$17*(1-Assumptions!$F$21)</f>
        <v/>
      </c>
      <c r="Y19" s="8">
        <f>Y12*Assumptions!$F$17*(1-Assumptions!$F$21)</f>
        <v/>
      </c>
      <c r="Z19" s="8">
        <f>Z12*Assumptions!$F$17*(1-Assumptions!$F$21)</f>
        <v/>
      </c>
      <c r="AA19" s="8">
        <f>AA12*Assumptions!$F$17*(1-Assumptions!$F$21)</f>
        <v/>
      </c>
      <c r="AB19" s="8">
        <f>AB12*Assumptions!$F$17*(1-Assumptions!$F$21)</f>
        <v/>
      </c>
      <c r="AC19" s="8">
        <f>AC12*Assumptions!$F$17*(1-Assumptions!$F$21)</f>
        <v/>
      </c>
      <c r="AD19" s="8">
        <f>AD12*Assumptions!$F$17*(1-Assumptions!$F$21)</f>
        <v/>
      </c>
      <c r="AE19" s="8">
        <f>AE12*Assumptions!$F$17*(1-Assumptions!$F$21)</f>
        <v/>
      </c>
      <c r="AF19" s="8">
        <f>AF12*Assumptions!$F$17*(1-Assumptions!$F$21)</f>
        <v/>
      </c>
      <c r="AG19" s="8">
        <f>AG12*Assumptions!$F$17*(1-Assumptions!$F$21)</f>
        <v/>
      </c>
      <c r="AH19" s="8">
        <f>AH12*Assumptions!$F$17*(1-Assumptions!$F$21)</f>
        <v/>
      </c>
      <c r="AI19" s="8">
        <f>AI12*Assumptions!$F$17*(1-Assumptions!$F$21)</f>
        <v/>
      </c>
      <c r="AJ19" s="8">
        <f>AJ12*Assumptions!$F$17*(1-Assumptions!$F$21)</f>
        <v/>
      </c>
      <c r="AK19" s="8">
        <f>AK12*Assumptions!$F$17*(1-Assumptions!$F$21)</f>
        <v/>
      </c>
      <c r="AL19" s="8">
        <f>AL12*Assumptions!$F$17*(1-Assumptions!$F$21)</f>
        <v/>
      </c>
    </row>
    <row r="20">
      <c r="B20" s="2" t="inlineStr">
        <is>
          <t>Birthday parties</t>
        </is>
      </c>
      <c r="C20" s="8">
        <f>CHOOSE(C$5,Assumptions!$F$32,Assumptions!$F$33,Assumptions!$F$34)*52/12*Assumptions!$F$31*(1-Assumptions!$F$21)</f>
        <v/>
      </c>
      <c r="D20" s="8">
        <f>CHOOSE(D$5,Assumptions!$F$32,Assumptions!$F$33,Assumptions!$F$34)*52/12*Assumptions!$F$31*(1-Assumptions!$F$21)</f>
        <v/>
      </c>
      <c r="E20" s="8">
        <f>CHOOSE(E$5,Assumptions!$F$32,Assumptions!$F$33,Assumptions!$F$34)*52/12*Assumptions!$F$31*(1-Assumptions!$F$21)</f>
        <v/>
      </c>
      <c r="F20" s="8">
        <f>CHOOSE(F$5,Assumptions!$F$32,Assumptions!$F$33,Assumptions!$F$34)*52/12*Assumptions!$F$31*(1-Assumptions!$F$21)</f>
        <v/>
      </c>
      <c r="G20" s="8">
        <f>CHOOSE(G$5,Assumptions!$F$32,Assumptions!$F$33,Assumptions!$F$34)*52/12*Assumptions!$F$31*(1-Assumptions!$F$21)</f>
        <v/>
      </c>
      <c r="H20" s="8">
        <f>CHOOSE(H$5,Assumptions!$F$32,Assumptions!$F$33,Assumptions!$F$34)*52/12*Assumptions!$F$31*(1-Assumptions!$F$21)</f>
        <v/>
      </c>
      <c r="I20" s="8">
        <f>CHOOSE(I$5,Assumptions!$F$32,Assumptions!$F$33,Assumptions!$F$34)*52/12*Assumptions!$F$31*(1-Assumptions!$F$21)</f>
        <v/>
      </c>
      <c r="J20" s="8">
        <f>CHOOSE(J$5,Assumptions!$F$32,Assumptions!$F$33,Assumptions!$F$34)*52/12*Assumptions!$F$31*(1-Assumptions!$F$21)</f>
        <v/>
      </c>
      <c r="K20" s="8">
        <f>CHOOSE(K$5,Assumptions!$F$32,Assumptions!$F$33,Assumptions!$F$34)*52/12*Assumptions!$F$31*(1-Assumptions!$F$21)</f>
        <v/>
      </c>
      <c r="L20" s="8">
        <f>CHOOSE(L$5,Assumptions!$F$32,Assumptions!$F$33,Assumptions!$F$34)*52/12*Assumptions!$F$31*(1-Assumptions!$F$21)</f>
        <v/>
      </c>
      <c r="M20" s="8">
        <f>CHOOSE(M$5,Assumptions!$F$32,Assumptions!$F$33,Assumptions!$F$34)*52/12*Assumptions!$F$31*(1-Assumptions!$F$21)</f>
        <v/>
      </c>
      <c r="N20" s="8">
        <f>CHOOSE(N$5,Assumptions!$F$32,Assumptions!$F$33,Assumptions!$F$34)*52/12*Assumptions!$F$31*(1-Assumptions!$F$21)</f>
        <v/>
      </c>
      <c r="O20" s="8">
        <f>CHOOSE(O$5,Assumptions!$F$32,Assumptions!$F$33,Assumptions!$F$34)*52/12*Assumptions!$F$31*(1-Assumptions!$F$21)</f>
        <v/>
      </c>
      <c r="P20" s="8">
        <f>CHOOSE(P$5,Assumptions!$F$32,Assumptions!$F$33,Assumptions!$F$34)*52/12*Assumptions!$F$31*(1-Assumptions!$F$21)</f>
        <v/>
      </c>
      <c r="Q20" s="8">
        <f>CHOOSE(Q$5,Assumptions!$F$32,Assumptions!$F$33,Assumptions!$F$34)*52/12*Assumptions!$F$31*(1-Assumptions!$F$21)</f>
        <v/>
      </c>
      <c r="R20" s="8">
        <f>CHOOSE(R$5,Assumptions!$F$32,Assumptions!$F$33,Assumptions!$F$34)*52/12*Assumptions!$F$31*(1-Assumptions!$F$21)</f>
        <v/>
      </c>
      <c r="S20" s="8">
        <f>CHOOSE(S$5,Assumptions!$F$32,Assumptions!$F$33,Assumptions!$F$34)*52/12*Assumptions!$F$31*(1-Assumptions!$F$21)</f>
        <v/>
      </c>
      <c r="T20" s="8">
        <f>CHOOSE(T$5,Assumptions!$F$32,Assumptions!$F$33,Assumptions!$F$34)*52/12*Assumptions!$F$31*(1-Assumptions!$F$21)</f>
        <v/>
      </c>
      <c r="U20" s="8">
        <f>CHOOSE(U$5,Assumptions!$F$32,Assumptions!$F$33,Assumptions!$F$34)*52/12*Assumptions!$F$31*(1-Assumptions!$F$21)</f>
        <v/>
      </c>
      <c r="V20" s="8">
        <f>CHOOSE(V$5,Assumptions!$F$32,Assumptions!$F$33,Assumptions!$F$34)*52/12*Assumptions!$F$31*(1-Assumptions!$F$21)</f>
        <v/>
      </c>
      <c r="W20" s="8">
        <f>CHOOSE(W$5,Assumptions!$F$32,Assumptions!$F$33,Assumptions!$F$34)*52/12*Assumptions!$F$31*(1-Assumptions!$F$21)</f>
        <v/>
      </c>
      <c r="X20" s="8">
        <f>CHOOSE(X$5,Assumptions!$F$32,Assumptions!$F$33,Assumptions!$F$34)*52/12*Assumptions!$F$31*(1-Assumptions!$F$21)</f>
        <v/>
      </c>
      <c r="Y20" s="8">
        <f>CHOOSE(Y$5,Assumptions!$F$32,Assumptions!$F$33,Assumptions!$F$34)*52/12*Assumptions!$F$31*(1-Assumptions!$F$21)</f>
        <v/>
      </c>
      <c r="Z20" s="8">
        <f>CHOOSE(Z$5,Assumptions!$F$32,Assumptions!$F$33,Assumptions!$F$34)*52/12*Assumptions!$F$31*(1-Assumptions!$F$21)</f>
        <v/>
      </c>
      <c r="AA20" s="8">
        <f>CHOOSE(AA$5,Assumptions!$F$32,Assumptions!$F$33,Assumptions!$F$34)*52/12*Assumptions!$F$31*(1-Assumptions!$F$21)</f>
        <v/>
      </c>
      <c r="AB20" s="8">
        <f>CHOOSE(AB$5,Assumptions!$F$32,Assumptions!$F$33,Assumptions!$F$34)*52/12*Assumptions!$F$31*(1-Assumptions!$F$21)</f>
        <v/>
      </c>
      <c r="AC20" s="8">
        <f>CHOOSE(AC$5,Assumptions!$F$32,Assumptions!$F$33,Assumptions!$F$34)*52/12*Assumptions!$F$31*(1-Assumptions!$F$21)</f>
        <v/>
      </c>
      <c r="AD20" s="8">
        <f>CHOOSE(AD$5,Assumptions!$F$32,Assumptions!$F$33,Assumptions!$F$34)*52/12*Assumptions!$F$31*(1-Assumptions!$F$21)</f>
        <v/>
      </c>
      <c r="AE20" s="8">
        <f>CHOOSE(AE$5,Assumptions!$F$32,Assumptions!$F$33,Assumptions!$F$34)*52/12*Assumptions!$F$31*(1-Assumptions!$F$21)</f>
        <v/>
      </c>
      <c r="AF20" s="8">
        <f>CHOOSE(AF$5,Assumptions!$F$32,Assumptions!$F$33,Assumptions!$F$34)*52/12*Assumptions!$F$31*(1-Assumptions!$F$21)</f>
        <v/>
      </c>
      <c r="AG20" s="8">
        <f>CHOOSE(AG$5,Assumptions!$F$32,Assumptions!$F$33,Assumptions!$F$34)*52/12*Assumptions!$F$31*(1-Assumptions!$F$21)</f>
        <v/>
      </c>
      <c r="AH20" s="8">
        <f>CHOOSE(AH$5,Assumptions!$F$32,Assumptions!$F$33,Assumptions!$F$34)*52/12*Assumptions!$F$31*(1-Assumptions!$F$21)</f>
        <v/>
      </c>
      <c r="AI20" s="8">
        <f>CHOOSE(AI$5,Assumptions!$F$32,Assumptions!$F$33,Assumptions!$F$34)*52/12*Assumptions!$F$31*(1-Assumptions!$F$21)</f>
        <v/>
      </c>
      <c r="AJ20" s="8">
        <f>CHOOSE(AJ$5,Assumptions!$F$32,Assumptions!$F$33,Assumptions!$F$34)*52/12*Assumptions!$F$31*(1-Assumptions!$F$21)</f>
        <v/>
      </c>
      <c r="AK20" s="8">
        <f>CHOOSE(AK$5,Assumptions!$F$32,Assumptions!$F$33,Assumptions!$F$34)*52/12*Assumptions!$F$31*(1-Assumptions!$F$21)</f>
        <v/>
      </c>
      <c r="AL20" s="8">
        <f>CHOOSE(AL$5,Assumptions!$F$32,Assumptions!$F$33,Assumptions!$F$34)*52/12*Assumptions!$F$31*(1-Assumptions!$F$21)</f>
        <v/>
      </c>
    </row>
    <row r="21">
      <c r="B21" s="2" t="inlineStr">
        <is>
          <t>3x3 tournaments</t>
        </is>
      </c>
      <c r="C21" s="8">
        <f>CHOOSE(C$5,Assumptions!$F$39,Assumptions!$F$40,Assumptions!$F$41)/12*Assumptions!$F$42*Assumptions!$F$43*(1-Assumptions!$F$21)</f>
        <v/>
      </c>
      <c r="D21" s="8">
        <f>CHOOSE(D$5,Assumptions!$F$39,Assumptions!$F$40,Assumptions!$F$41)/12*Assumptions!$F$42*Assumptions!$F$43*(1-Assumptions!$F$21)</f>
        <v/>
      </c>
      <c r="E21" s="8">
        <f>CHOOSE(E$5,Assumptions!$F$39,Assumptions!$F$40,Assumptions!$F$41)/12*Assumptions!$F$42*Assumptions!$F$43*(1-Assumptions!$F$21)</f>
        <v/>
      </c>
      <c r="F21" s="8">
        <f>CHOOSE(F$5,Assumptions!$F$39,Assumptions!$F$40,Assumptions!$F$41)/12*Assumptions!$F$42*Assumptions!$F$43*(1-Assumptions!$F$21)</f>
        <v/>
      </c>
      <c r="G21" s="8">
        <f>CHOOSE(G$5,Assumptions!$F$39,Assumptions!$F$40,Assumptions!$F$41)/12*Assumptions!$F$42*Assumptions!$F$43*(1-Assumptions!$F$21)</f>
        <v/>
      </c>
      <c r="H21" s="8">
        <f>CHOOSE(H$5,Assumptions!$F$39,Assumptions!$F$40,Assumptions!$F$41)/12*Assumptions!$F$42*Assumptions!$F$43*(1-Assumptions!$F$21)</f>
        <v/>
      </c>
      <c r="I21" s="8">
        <f>CHOOSE(I$5,Assumptions!$F$39,Assumptions!$F$40,Assumptions!$F$41)/12*Assumptions!$F$42*Assumptions!$F$43*(1-Assumptions!$F$21)</f>
        <v/>
      </c>
      <c r="J21" s="8">
        <f>CHOOSE(J$5,Assumptions!$F$39,Assumptions!$F$40,Assumptions!$F$41)/12*Assumptions!$F$42*Assumptions!$F$43*(1-Assumptions!$F$21)</f>
        <v/>
      </c>
      <c r="K21" s="8">
        <f>CHOOSE(K$5,Assumptions!$F$39,Assumptions!$F$40,Assumptions!$F$41)/12*Assumptions!$F$42*Assumptions!$F$43*(1-Assumptions!$F$21)</f>
        <v/>
      </c>
      <c r="L21" s="8">
        <f>CHOOSE(L$5,Assumptions!$F$39,Assumptions!$F$40,Assumptions!$F$41)/12*Assumptions!$F$42*Assumptions!$F$43*(1-Assumptions!$F$21)</f>
        <v/>
      </c>
      <c r="M21" s="8">
        <f>CHOOSE(M$5,Assumptions!$F$39,Assumptions!$F$40,Assumptions!$F$41)/12*Assumptions!$F$42*Assumptions!$F$43*(1-Assumptions!$F$21)</f>
        <v/>
      </c>
      <c r="N21" s="8">
        <f>CHOOSE(N$5,Assumptions!$F$39,Assumptions!$F$40,Assumptions!$F$41)/12*Assumptions!$F$42*Assumptions!$F$43*(1-Assumptions!$F$21)</f>
        <v/>
      </c>
      <c r="O21" s="8">
        <f>CHOOSE(O$5,Assumptions!$F$39,Assumptions!$F$40,Assumptions!$F$41)/12*Assumptions!$F$42*Assumptions!$F$43*(1-Assumptions!$F$21)</f>
        <v/>
      </c>
      <c r="P21" s="8">
        <f>CHOOSE(P$5,Assumptions!$F$39,Assumptions!$F$40,Assumptions!$F$41)/12*Assumptions!$F$42*Assumptions!$F$43*(1-Assumptions!$F$21)</f>
        <v/>
      </c>
      <c r="Q21" s="8">
        <f>CHOOSE(Q$5,Assumptions!$F$39,Assumptions!$F$40,Assumptions!$F$41)/12*Assumptions!$F$42*Assumptions!$F$43*(1-Assumptions!$F$21)</f>
        <v/>
      </c>
      <c r="R21" s="8">
        <f>CHOOSE(R$5,Assumptions!$F$39,Assumptions!$F$40,Assumptions!$F$41)/12*Assumptions!$F$42*Assumptions!$F$43*(1-Assumptions!$F$21)</f>
        <v/>
      </c>
      <c r="S21" s="8">
        <f>CHOOSE(S$5,Assumptions!$F$39,Assumptions!$F$40,Assumptions!$F$41)/12*Assumptions!$F$42*Assumptions!$F$43*(1-Assumptions!$F$21)</f>
        <v/>
      </c>
      <c r="T21" s="8">
        <f>CHOOSE(T$5,Assumptions!$F$39,Assumptions!$F$40,Assumptions!$F$41)/12*Assumptions!$F$42*Assumptions!$F$43*(1-Assumptions!$F$21)</f>
        <v/>
      </c>
      <c r="U21" s="8">
        <f>CHOOSE(U$5,Assumptions!$F$39,Assumptions!$F$40,Assumptions!$F$41)/12*Assumptions!$F$42*Assumptions!$F$43*(1-Assumptions!$F$21)</f>
        <v/>
      </c>
      <c r="V21" s="8">
        <f>CHOOSE(V$5,Assumptions!$F$39,Assumptions!$F$40,Assumptions!$F$41)/12*Assumptions!$F$42*Assumptions!$F$43*(1-Assumptions!$F$21)</f>
        <v/>
      </c>
      <c r="W21" s="8">
        <f>CHOOSE(W$5,Assumptions!$F$39,Assumptions!$F$40,Assumptions!$F$41)/12*Assumptions!$F$42*Assumptions!$F$43*(1-Assumptions!$F$21)</f>
        <v/>
      </c>
      <c r="X21" s="8">
        <f>CHOOSE(X$5,Assumptions!$F$39,Assumptions!$F$40,Assumptions!$F$41)/12*Assumptions!$F$42*Assumptions!$F$43*(1-Assumptions!$F$21)</f>
        <v/>
      </c>
      <c r="Y21" s="8">
        <f>CHOOSE(Y$5,Assumptions!$F$39,Assumptions!$F$40,Assumptions!$F$41)/12*Assumptions!$F$42*Assumptions!$F$43*(1-Assumptions!$F$21)</f>
        <v/>
      </c>
      <c r="Z21" s="8">
        <f>CHOOSE(Z$5,Assumptions!$F$39,Assumptions!$F$40,Assumptions!$F$41)/12*Assumptions!$F$42*Assumptions!$F$43*(1-Assumptions!$F$21)</f>
        <v/>
      </c>
      <c r="AA21" s="8">
        <f>CHOOSE(AA$5,Assumptions!$F$39,Assumptions!$F$40,Assumptions!$F$41)/12*Assumptions!$F$42*Assumptions!$F$43*(1-Assumptions!$F$21)</f>
        <v/>
      </c>
      <c r="AB21" s="8">
        <f>CHOOSE(AB$5,Assumptions!$F$39,Assumptions!$F$40,Assumptions!$F$41)/12*Assumptions!$F$42*Assumptions!$F$43*(1-Assumptions!$F$21)</f>
        <v/>
      </c>
      <c r="AC21" s="8">
        <f>CHOOSE(AC$5,Assumptions!$F$39,Assumptions!$F$40,Assumptions!$F$41)/12*Assumptions!$F$42*Assumptions!$F$43*(1-Assumptions!$F$21)</f>
        <v/>
      </c>
      <c r="AD21" s="8">
        <f>CHOOSE(AD$5,Assumptions!$F$39,Assumptions!$F$40,Assumptions!$F$41)/12*Assumptions!$F$42*Assumptions!$F$43*(1-Assumptions!$F$21)</f>
        <v/>
      </c>
      <c r="AE21" s="8">
        <f>CHOOSE(AE$5,Assumptions!$F$39,Assumptions!$F$40,Assumptions!$F$41)/12*Assumptions!$F$42*Assumptions!$F$43*(1-Assumptions!$F$21)</f>
        <v/>
      </c>
      <c r="AF21" s="8">
        <f>CHOOSE(AF$5,Assumptions!$F$39,Assumptions!$F$40,Assumptions!$F$41)/12*Assumptions!$F$42*Assumptions!$F$43*(1-Assumptions!$F$21)</f>
        <v/>
      </c>
      <c r="AG21" s="8">
        <f>CHOOSE(AG$5,Assumptions!$F$39,Assumptions!$F$40,Assumptions!$F$41)/12*Assumptions!$F$42*Assumptions!$F$43*(1-Assumptions!$F$21)</f>
        <v/>
      </c>
      <c r="AH21" s="8">
        <f>CHOOSE(AH$5,Assumptions!$F$39,Assumptions!$F$40,Assumptions!$F$41)/12*Assumptions!$F$42*Assumptions!$F$43*(1-Assumptions!$F$21)</f>
        <v/>
      </c>
      <c r="AI21" s="8">
        <f>CHOOSE(AI$5,Assumptions!$F$39,Assumptions!$F$40,Assumptions!$F$41)/12*Assumptions!$F$42*Assumptions!$F$43*(1-Assumptions!$F$21)</f>
        <v/>
      </c>
      <c r="AJ21" s="8">
        <f>CHOOSE(AJ$5,Assumptions!$F$39,Assumptions!$F$40,Assumptions!$F$41)/12*Assumptions!$F$42*Assumptions!$F$43*(1-Assumptions!$F$21)</f>
        <v/>
      </c>
      <c r="AK21" s="8">
        <f>CHOOSE(AK$5,Assumptions!$F$39,Assumptions!$F$40,Assumptions!$F$41)/12*Assumptions!$F$42*Assumptions!$F$43*(1-Assumptions!$F$21)</f>
        <v/>
      </c>
      <c r="AL21" s="8">
        <f>CHOOSE(AL$5,Assumptions!$F$39,Assumptions!$F$40,Assumptions!$F$41)/12*Assumptions!$F$42*Assumptions!$F$43*(1-Assumptions!$F$21)</f>
        <v/>
      </c>
    </row>
    <row r="22">
      <c r="B22" s="2" t="inlineStr">
        <is>
          <t>Holiday camps</t>
        </is>
      </c>
      <c r="C22" s="8">
        <f>INDEX(Assumptions!$C$106:$C$117,C$6)*5*CHOOSE(C$5,Assumptions!$F$48,Assumptions!$F$49,Assumptions!$F$50)*CHOOSE(C$5,Assumptions!$F$51,Assumptions!$F$52,Assumptions!$F$53)*Assumptions!$F$47*(1-Assumptions!$F$21)</f>
        <v/>
      </c>
      <c r="D22" s="8">
        <f>INDEX(Assumptions!$C$106:$C$117,D$6)*5*CHOOSE(D$5,Assumptions!$F$48,Assumptions!$F$49,Assumptions!$F$50)*CHOOSE(D$5,Assumptions!$F$51,Assumptions!$F$52,Assumptions!$F$53)*Assumptions!$F$47*(1-Assumptions!$F$21)</f>
        <v/>
      </c>
      <c r="E22" s="8">
        <f>INDEX(Assumptions!$C$106:$C$117,E$6)*5*CHOOSE(E$5,Assumptions!$F$48,Assumptions!$F$49,Assumptions!$F$50)*CHOOSE(E$5,Assumptions!$F$51,Assumptions!$F$52,Assumptions!$F$53)*Assumptions!$F$47*(1-Assumptions!$F$21)</f>
        <v/>
      </c>
      <c r="F22" s="8">
        <f>INDEX(Assumptions!$C$106:$C$117,F$6)*5*CHOOSE(F$5,Assumptions!$F$48,Assumptions!$F$49,Assumptions!$F$50)*CHOOSE(F$5,Assumptions!$F$51,Assumptions!$F$52,Assumptions!$F$53)*Assumptions!$F$47*(1-Assumptions!$F$21)</f>
        <v/>
      </c>
      <c r="G22" s="8">
        <f>INDEX(Assumptions!$C$106:$C$117,G$6)*5*CHOOSE(G$5,Assumptions!$F$48,Assumptions!$F$49,Assumptions!$F$50)*CHOOSE(G$5,Assumptions!$F$51,Assumptions!$F$52,Assumptions!$F$53)*Assumptions!$F$47*(1-Assumptions!$F$21)</f>
        <v/>
      </c>
      <c r="H22" s="8">
        <f>INDEX(Assumptions!$C$106:$C$117,H$6)*5*CHOOSE(H$5,Assumptions!$F$48,Assumptions!$F$49,Assumptions!$F$50)*CHOOSE(H$5,Assumptions!$F$51,Assumptions!$F$52,Assumptions!$F$53)*Assumptions!$F$47*(1-Assumptions!$F$21)</f>
        <v/>
      </c>
      <c r="I22" s="8">
        <f>INDEX(Assumptions!$C$106:$C$117,I$6)*5*CHOOSE(I$5,Assumptions!$F$48,Assumptions!$F$49,Assumptions!$F$50)*CHOOSE(I$5,Assumptions!$F$51,Assumptions!$F$52,Assumptions!$F$53)*Assumptions!$F$47*(1-Assumptions!$F$21)</f>
        <v/>
      </c>
      <c r="J22" s="8">
        <f>INDEX(Assumptions!$C$106:$C$117,J$6)*5*CHOOSE(J$5,Assumptions!$F$48,Assumptions!$F$49,Assumptions!$F$50)*CHOOSE(J$5,Assumptions!$F$51,Assumptions!$F$52,Assumptions!$F$53)*Assumptions!$F$47*(1-Assumptions!$F$21)</f>
        <v/>
      </c>
      <c r="K22" s="8">
        <f>INDEX(Assumptions!$C$106:$C$117,K$6)*5*CHOOSE(K$5,Assumptions!$F$48,Assumptions!$F$49,Assumptions!$F$50)*CHOOSE(K$5,Assumptions!$F$51,Assumptions!$F$52,Assumptions!$F$53)*Assumptions!$F$47*(1-Assumptions!$F$21)</f>
        <v/>
      </c>
      <c r="L22" s="8">
        <f>INDEX(Assumptions!$C$106:$C$117,L$6)*5*CHOOSE(L$5,Assumptions!$F$48,Assumptions!$F$49,Assumptions!$F$50)*CHOOSE(L$5,Assumptions!$F$51,Assumptions!$F$52,Assumptions!$F$53)*Assumptions!$F$47*(1-Assumptions!$F$21)</f>
        <v/>
      </c>
      <c r="M22" s="8">
        <f>INDEX(Assumptions!$C$106:$C$117,M$6)*5*CHOOSE(M$5,Assumptions!$F$48,Assumptions!$F$49,Assumptions!$F$50)*CHOOSE(M$5,Assumptions!$F$51,Assumptions!$F$52,Assumptions!$F$53)*Assumptions!$F$47*(1-Assumptions!$F$21)</f>
        <v/>
      </c>
      <c r="N22" s="8">
        <f>INDEX(Assumptions!$C$106:$C$117,N$6)*5*CHOOSE(N$5,Assumptions!$F$48,Assumptions!$F$49,Assumptions!$F$50)*CHOOSE(N$5,Assumptions!$F$51,Assumptions!$F$52,Assumptions!$F$53)*Assumptions!$F$47*(1-Assumptions!$F$21)</f>
        <v/>
      </c>
      <c r="O22" s="8">
        <f>INDEX(Assumptions!$C$106:$C$117,O$6)*5*CHOOSE(O$5,Assumptions!$F$48,Assumptions!$F$49,Assumptions!$F$50)*CHOOSE(O$5,Assumptions!$F$51,Assumptions!$F$52,Assumptions!$F$53)*Assumptions!$F$47*(1-Assumptions!$F$21)</f>
        <v/>
      </c>
      <c r="P22" s="8">
        <f>INDEX(Assumptions!$C$106:$C$117,P$6)*5*CHOOSE(P$5,Assumptions!$F$48,Assumptions!$F$49,Assumptions!$F$50)*CHOOSE(P$5,Assumptions!$F$51,Assumptions!$F$52,Assumptions!$F$53)*Assumptions!$F$47*(1-Assumptions!$F$21)</f>
        <v/>
      </c>
      <c r="Q22" s="8">
        <f>INDEX(Assumptions!$C$106:$C$117,Q$6)*5*CHOOSE(Q$5,Assumptions!$F$48,Assumptions!$F$49,Assumptions!$F$50)*CHOOSE(Q$5,Assumptions!$F$51,Assumptions!$F$52,Assumptions!$F$53)*Assumptions!$F$47*(1-Assumptions!$F$21)</f>
        <v/>
      </c>
      <c r="R22" s="8">
        <f>INDEX(Assumptions!$C$106:$C$117,R$6)*5*CHOOSE(R$5,Assumptions!$F$48,Assumptions!$F$49,Assumptions!$F$50)*CHOOSE(R$5,Assumptions!$F$51,Assumptions!$F$52,Assumptions!$F$53)*Assumptions!$F$47*(1-Assumptions!$F$21)</f>
        <v/>
      </c>
      <c r="S22" s="8">
        <f>INDEX(Assumptions!$C$106:$C$117,S$6)*5*CHOOSE(S$5,Assumptions!$F$48,Assumptions!$F$49,Assumptions!$F$50)*CHOOSE(S$5,Assumptions!$F$51,Assumptions!$F$52,Assumptions!$F$53)*Assumptions!$F$47*(1-Assumptions!$F$21)</f>
        <v/>
      </c>
      <c r="T22" s="8">
        <f>INDEX(Assumptions!$C$106:$C$117,T$6)*5*CHOOSE(T$5,Assumptions!$F$48,Assumptions!$F$49,Assumptions!$F$50)*CHOOSE(T$5,Assumptions!$F$51,Assumptions!$F$52,Assumptions!$F$53)*Assumptions!$F$47*(1-Assumptions!$F$21)</f>
        <v/>
      </c>
      <c r="U22" s="8">
        <f>INDEX(Assumptions!$C$106:$C$117,U$6)*5*CHOOSE(U$5,Assumptions!$F$48,Assumptions!$F$49,Assumptions!$F$50)*CHOOSE(U$5,Assumptions!$F$51,Assumptions!$F$52,Assumptions!$F$53)*Assumptions!$F$47*(1-Assumptions!$F$21)</f>
        <v/>
      </c>
      <c r="V22" s="8">
        <f>INDEX(Assumptions!$C$106:$C$117,V$6)*5*CHOOSE(V$5,Assumptions!$F$48,Assumptions!$F$49,Assumptions!$F$50)*CHOOSE(V$5,Assumptions!$F$51,Assumptions!$F$52,Assumptions!$F$53)*Assumptions!$F$47*(1-Assumptions!$F$21)</f>
        <v/>
      </c>
      <c r="W22" s="8">
        <f>INDEX(Assumptions!$C$106:$C$117,W$6)*5*CHOOSE(W$5,Assumptions!$F$48,Assumptions!$F$49,Assumptions!$F$50)*CHOOSE(W$5,Assumptions!$F$51,Assumptions!$F$52,Assumptions!$F$53)*Assumptions!$F$47*(1-Assumptions!$F$21)</f>
        <v/>
      </c>
      <c r="X22" s="8">
        <f>INDEX(Assumptions!$C$106:$C$117,X$6)*5*CHOOSE(X$5,Assumptions!$F$48,Assumptions!$F$49,Assumptions!$F$50)*CHOOSE(X$5,Assumptions!$F$51,Assumptions!$F$52,Assumptions!$F$53)*Assumptions!$F$47*(1-Assumptions!$F$21)</f>
        <v/>
      </c>
      <c r="Y22" s="8">
        <f>INDEX(Assumptions!$C$106:$C$117,Y$6)*5*CHOOSE(Y$5,Assumptions!$F$48,Assumptions!$F$49,Assumptions!$F$50)*CHOOSE(Y$5,Assumptions!$F$51,Assumptions!$F$52,Assumptions!$F$53)*Assumptions!$F$47*(1-Assumptions!$F$21)</f>
        <v/>
      </c>
      <c r="Z22" s="8">
        <f>INDEX(Assumptions!$C$106:$C$117,Z$6)*5*CHOOSE(Z$5,Assumptions!$F$48,Assumptions!$F$49,Assumptions!$F$50)*CHOOSE(Z$5,Assumptions!$F$51,Assumptions!$F$52,Assumptions!$F$53)*Assumptions!$F$47*(1-Assumptions!$F$21)</f>
        <v/>
      </c>
      <c r="AA22" s="8">
        <f>INDEX(Assumptions!$C$106:$C$117,AA$6)*5*CHOOSE(AA$5,Assumptions!$F$48,Assumptions!$F$49,Assumptions!$F$50)*CHOOSE(AA$5,Assumptions!$F$51,Assumptions!$F$52,Assumptions!$F$53)*Assumptions!$F$47*(1-Assumptions!$F$21)</f>
        <v/>
      </c>
      <c r="AB22" s="8">
        <f>INDEX(Assumptions!$C$106:$C$117,AB$6)*5*CHOOSE(AB$5,Assumptions!$F$48,Assumptions!$F$49,Assumptions!$F$50)*CHOOSE(AB$5,Assumptions!$F$51,Assumptions!$F$52,Assumptions!$F$53)*Assumptions!$F$47*(1-Assumptions!$F$21)</f>
        <v/>
      </c>
      <c r="AC22" s="8">
        <f>INDEX(Assumptions!$C$106:$C$117,AC$6)*5*CHOOSE(AC$5,Assumptions!$F$48,Assumptions!$F$49,Assumptions!$F$50)*CHOOSE(AC$5,Assumptions!$F$51,Assumptions!$F$52,Assumptions!$F$53)*Assumptions!$F$47*(1-Assumptions!$F$21)</f>
        <v/>
      </c>
      <c r="AD22" s="8">
        <f>INDEX(Assumptions!$C$106:$C$117,AD$6)*5*CHOOSE(AD$5,Assumptions!$F$48,Assumptions!$F$49,Assumptions!$F$50)*CHOOSE(AD$5,Assumptions!$F$51,Assumptions!$F$52,Assumptions!$F$53)*Assumptions!$F$47*(1-Assumptions!$F$21)</f>
        <v/>
      </c>
      <c r="AE22" s="8">
        <f>INDEX(Assumptions!$C$106:$C$117,AE$6)*5*CHOOSE(AE$5,Assumptions!$F$48,Assumptions!$F$49,Assumptions!$F$50)*CHOOSE(AE$5,Assumptions!$F$51,Assumptions!$F$52,Assumptions!$F$53)*Assumptions!$F$47*(1-Assumptions!$F$21)</f>
        <v/>
      </c>
      <c r="AF22" s="8">
        <f>INDEX(Assumptions!$C$106:$C$117,AF$6)*5*CHOOSE(AF$5,Assumptions!$F$48,Assumptions!$F$49,Assumptions!$F$50)*CHOOSE(AF$5,Assumptions!$F$51,Assumptions!$F$52,Assumptions!$F$53)*Assumptions!$F$47*(1-Assumptions!$F$21)</f>
        <v/>
      </c>
      <c r="AG22" s="8">
        <f>INDEX(Assumptions!$C$106:$C$117,AG$6)*5*CHOOSE(AG$5,Assumptions!$F$48,Assumptions!$F$49,Assumptions!$F$50)*CHOOSE(AG$5,Assumptions!$F$51,Assumptions!$F$52,Assumptions!$F$53)*Assumptions!$F$47*(1-Assumptions!$F$21)</f>
        <v/>
      </c>
      <c r="AH22" s="8">
        <f>INDEX(Assumptions!$C$106:$C$117,AH$6)*5*CHOOSE(AH$5,Assumptions!$F$48,Assumptions!$F$49,Assumptions!$F$50)*CHOOSE(AH$5,Assumptions!$F$51,Assumptions!$F$52,Assumptions!$F$53)*Assumptions!$F$47*(1-Assumptions!$F$21)</f>
        <v/>
      </c>
      <c r="AI22" s="8">
        <f>INDEX(Assumptions!$C$106:$C$117,AI$6)*5*CHOOSE(AI$5,Assumptions!$F$48,Assumptions!$F$49,Assumptions!$F$50)*CHOOSE(AI$5,Assumptions!$F$51,Assumptions!$F$52,Assumptions!$F$53)*Assumptions!$F$47*(1-Assumptions!$F$21)</f>
        <v/>
      </c>
      <c r="AJ22" s="8">
        <f>INDEX(Assumptions!$C$106:$C$117,AJ$6)*5*CHOOSE(AJ$5,Assumptions!$F$48,Assumptions!$F$49,Assumptions!$F$50)*CHOOSE(AJ$5,Assumptions!$F$51,Assumptions!$F$52,Assumptions!$F$53)*Assumptions!$F$47*(1-Assumptions!$F$21)</f>
        <v/>
      </c>
      <c r="AK22" s="8">
        <f>INDEX(Assumptions!$C$106:$C$117,AK$6)*5*CHOOSE(AK$5,Assumptions!$F$48,Assumptions!$F$49,Assumptions!$F$50)*CHOOSE(AK$5,Assumptions!$F$51,Assumptions!$F$52,Assumptions!$F$53)*Assumptions!$F$47*(1-Assumptions!$F$21)</f>
        <v/>
      </c>
      <c r="AL22" s="8">
        <f>INDEX(Assumptions!$C$106:$C$117,AL$6)*5*CHOOSE(AL$5,Assumptions!$F$48,Assumptions!$F$49,Assumptions!$F$50)*CHOOSE(AL$5,Assumptions!$F$51,Assumptions!$F$52,Assumptions!$F$53)*Assumptions!$F$47*(1-Assumptions!$F$21)</f>
        <v/>
      </c>
    </row>
    <row r="23">
      <c r="B23" s="2" t="inlineStr">
        <is>
          <t>Funded holiday places (HAF)</t>
        </is>
      </c>
      <c r="C23" s="8">
        <f>INDEX(Assumptions!$D$106:$D$117,C$6)*Assumptions!$F$62*CHOOSE(C$5,Assumptions!$F$58,Assumptions!$F$59,Assumptions!$F$60)*Assumptions!$F$61</f>
        <v/>
      </c>
      <c r="D23" s="8">
        <f>INDEX(Assumptions!$D$106:$D$117,D$6)*Assumptions!$F$62*CHOOSE(D$5,Assumptions!$F$58,Assumptions!$F$59,Assumptions!$F$60)*Assumptions!$F$61</f>
        <v/>
      </c>
      <c r="E23" s="8">
        <f>INDEX(Assumptions!$D$106:$D$117,E$6)*Assumptions!$F$62*CHOOSE(E$5,Assumptions!$F$58,Assumptions!$F$59,Assumptions!$F$60)*Assumptions!$F$61</f>
        <v/>
      </c>
      <c r="F23" s="8">
        <f>INDEX(Assumptions!$D$106:$D$117,F$6)*Assumptions!$F$62*CHOOSE(F$5,Assumptions!$F$58,Assumptions!$F$59,Assumptions!$F$60)*Assumptions!$F$61</f>
        <v/>
      </c>
      <c r="G23" s="8">
        <f>INDEX(Assumptions!$D$106:$D$117,G$6)*Assumptions!$F$62*CHOOSE(G$5,Assumptions!$F$58,Assumptions!$F$59,Assumptions!$F$60)*Assumptions!$F$61</f>
        <v/>
      </c>
      <c r="H23" s="8">
        <f>INDEX(Assumptions!$D$106:$D$117,H$6)*Assumptions!$F$62*CHOOSE(H$5,Assumptions!$F$58,Assumptions!$F$59,Assumptions!$F$60)*Assumptions!$F$61</f>
        <v/>
      </c>
      <c r="I23" s="8">
        <f>INDEX(Assumptions!$D$106:$D$117,I$6)*Assumptions!$F$62*CHOOSE(I$5,Assumptions!$F$58,Assumptions!$F$59,Assumptions!$F$60)*Assumptions!$F$61</f>
        <v/>
      </c>
      <c r="J23" s="8">
        <f>INDEX(Assumptions!$D$106:$D$117,J$6)*Assumptions!$F$62*CHOOSE(J$5,Assumptions!$F$58,Assumptions!$F$59,Assumptions!$F$60)*Assumptions!$F$61</f>
        <v/>
      </c>
      <c r="K23" s="8">
        <f>INDEX(Assumptions!$D$106:$D$117,K$6)*Assumptions!$F$62*CHOOSE(K$5,Assumptions!$F$58,Assumptions!$F$59,Assumptions!$F$60)*Assumptions!$F$61</f>
        <v/>
      </c>
      <c r="L23" s="8">
        <f>INDEX(Assumptions!$D$106:$D$117,L$6)*Assumptions!$F$62*CHOOSE(L$5,Assumptions!$F$58,Assumptions!$F$59,Assumptions!$F$60)*Assumptions!$F$61</f>
        <v/>
      </c>
      <c r="M23" s="8">
        <f>INDEX(Assumptions!$D$106:$D$117,M$6)*Assumptions!$F$62*CHOOSE(M$5,Assumptions!$F$58,Assumptions!$F$59,Assumptions!$F$60)*Assumptions!$F$61</f>
        <v/>
      </c>
      <c r="N23" s="8">
        <f>INDEX(Assumptions!$D$106:$D$117,N$6)*Assumptions!$F$62*CHOOSE(N$5,Assumptions!$F$58,Assumptions!$F$59,Assumptions!$F$60)*Assumptions!$F$61</f>
        <v/>
      </c>
      <c r="O23" s="8">
        <f>INDEX(Assumptions!$D$106:$D$117,O$6)*Assumptions!$F$62*CHOOSE(O$5,Assumptions!$F$58,Assumptions!$F$59,Assumptions!$F$60)*Assumptions!$F$61</f>
        <v/>
      </c>
      <c r="P23" s="8">
        <f>INDEX(Assumptions!$D$106:$D$117,P$6)*Assumptions!$F$62*CHOOSE(P$5,Assumptions!$F$58,Assumptions!$F$59,Assumptions!$F$60)*Assumptions!$F$61</f>
        <v/>
      </c>
      <c r="Q23" s="8">
        <f>INDEX(Assumptions!$D$106:$D$117,Q$6)*Assumptions!$F$62*CHOOSE(Q$5,Assumptions!$F$58,Assumptions!$F$59,Assumptions!$F$60)*Assumptions!$F$61</f>
        <v/>
      </c>
      <c r="R23" s="8">
        <f>INDEX(Assumptions!$D$106:$D$117,R$6)*Assumptions!$F$62*CHOOSE(R$5,Assumptions!$F$58,Assumptions!$F$59,Assumptions!$F$60)*Assumptions!$F$61</f>
        <v/>
      </c>
      <c r="S23" s="8">
        <f>INDEX(Assumptions!$D$106:$D$117,S$6)*Assumptions!$F$62*CHOOSE(S$5,Assumptions!$F$58,Assumptions!$F$59,Assumptions!$F$60)*Assumptions!$F$61</f>
        <v/>
      </c>
      <c r="T23" s="8">
        <f>INDEX(Assumptions!$D$106:$D$117,T$6)*Assumptions!$F$62*CHOOSE(T$5,Assumptions!$F$58,Assumptions!$F$59,Assumptions!$F$60)*Assumptions!$F$61</f>
        <v/>
      </c>
      <c r="U23" s="8">
        <f>INDEX(Assumptions!$D$106:$D$117,U$6)*Assumptions!$F$62*CHOOSE(U$5,Assumptions!$F$58,Assumptions!$F$59,Assumptions!$F$60)*Assumptions!$F$61</f>
        <v/>
      </c>
      <c r="V23" s="8">
        <f>INDEX(Assumptions!$D$106:$D$117,V$6)*Assumptions!$F$62*CHOOSE(V$5,Assumptions!$F$58,Assumptions!$F$59,Assumptions!$F$60)*Assumptions!$F$61</f>
        <v/>
      </c>
      <c r="W23" s="8">
        <f>INDEX(Assumptions!$D$106:$D$117,W$6)*Assumptions!$F$62*CHOOSE(W$5,Assumptions!$F$58,Assumptions!$F$59,Assumptions!$F$60)*Assumptions!$F$61</f>
        <v/>
      </c>
      <c r="X23" s="8">
        <f>INDEX(Assumptions!$D$106:$D$117,X$6)*Assumptions!$F$62*CHOOSE(X$5,Assumptions!$F$58,Assumptions!$F$59,Assumptions!$F$60)*Assumptions!$F$61</f>
        <v/>
      </c>
      <c r="Y23" s="8">
        <f>INDEX(Assumptions!$D$106:$D$117,Y$6)*Assumptions!$F$62*CHOOSE(Y$5,Assumptions!$F$58,Assumptions!$F$59,Assumptions!$F$60)*Assumptions!$F$61</f>
        <v/>
      </c>
      <c r="Z23" s="8">
        <f>INDEX(Assumptions!$D$106:$D$117,Z$6)*Assumptions!$F$62*CHOOSE(Z$5,Assumptions!$F$58,Assumptions!$F$59,Assumptions!$F$60)*Assumptions!$F$61</f>
        <v/>
      </c>
      <c r="AA23" s="8">
        <f>INDEX(Assumptions!$D$106:$D$117,AA$6)*Assumptions!$F$62*CHOOSE(AA$5,Assumptions!$F$58,Assumptions!$F$59,Assumptions!$F$60)*Assumptions!$F$61</f>
        <v/>
      </c>
      <c r="AB23" s="8">
        <f>INDEX(Assumptions!$D$106:$D$117,AB$6)*Assumptions!$F$62*CHOOSE(AB$5,Assumptions!$F$58,Assumptions!$F$59,Assumptions!$F$60)*Assumptions!$F$61</f>
        <v/>
      </c>
      <c r="AC23" s="8">
        <f>INDEX(Assumptions!$D$106:$D$117,AC$6)*Assumptions!$F$62*CHOOSE(AC$5,Assumptions!$F$58,Assumptions!$F$59,Assumptions!$F$60)*Assumptions!$F$61</f>
        <v/>
      </c>
      <c r="AD23" s="8">
        <f>INDEX(Assumptions!$D$106:$D$117,AD$6)*Assumptions!$F$62*CHOOSE(AD$5,Assumptions!$F$58,Assumptions!$F$59,Assumptions!$F$60)*Assumptions!$F$61</f>
        <v/>
      </c>
      <c r="AE23" s="8">
        <f>INDEX(Assumptions!$D$106:$D$117,AE$6)*Assumptions!$F$62*CHOOSE(AE$5,Assumptions!$F$58,Assumptions!$F$59,Assumptions!$F$60)*Assumptions!$F$61</f>
        <v/>
      </c>
      <c r="AF23" s="8">
        <f>INDEX(Assumptions!$D$106:$D$117,AF$6)*Assumptions!$F$62*CHOOSE(AF$5,Assumptions!$F$58,Assumptions!$F$59,Assumptions!$F$60)*Assumptions!$F$61</f>
        <v/>
      </c>
      <c r="AG23" s="8">
        <f>INDEX(Assumptions!$D$106:$D$117,AG$6)*Assumptions!$F$62*CHOOSE(AG$5,Assumptions!$F$58,Assumptions!$F$59,Assumptions!$F$60)*Assumptions!$F$61</f>
        <v/>
      </c>
      <c r="AH23" s="8">
        <f>INDEX(Assumptions!$D$106:$D$117,AH$6)*Assumptions!$F$62*CHOOSE(AH$5,Assumptions!$F$58,Assumptions!$F$59,Assumptions!$F$60)*Assumptions!$F$61</f>
        <v/>
      </c>
      <c r="AI23" s="8">
        <f>INDEX(Assumptions!$D$106:$D$117,AI$6)*Assumptions!$F$62*CHOOSE(AI$5,Assumptions!$F$58,Assumptions!$F$59,Assumptions!$F$60)*Assumptions!$F$61</f>
        <v/>
      </c>
      <c r="AJ23" s="8">
        <f>INDEX(Assumptions!$D$106:$D$117,AJ$6)*Assumptions!$F$62*CHOOSE(AJ$5,Assumptions!$F$58,Assumptions!$F$59,Assumptions!$F$60)*Assumptions!$F$61</f>
        <v/>
      </c>
      <c r="AK23" s="8">
        <f>INDEX(Assumptions!$D$106:$D$117,AK$6)*Assumptions!$F$62*CHOOSE(AK$5,Assumptions!$F$58,Assumptions!$F$59,Assumptions!$F$60)*Assumptions!$F$61</f>
        <v/>
      </c>
      <c r="AL23" s="8">
        <f>INDEX(Assumptions!$D$106:$D$117,AL$6)*Assumptions!$F$62*CHOOSE(AL$5,Assumptions!$F$58,Assumptions!$F$59,Assumptions!$F$60)*Assumptions!$F$61</f>
        <v/>
      </c>
    </row>
    <row r="24">
      <c r="B24" s="2" t="inlineStr">
        <is>
          <t>Breakfast All Stars</t>
        </is>
      </c>
      <c r="C24" s="8">
        <f>Assumptions!$F$66*Assumptions!$F$20/12*CHOOSE(C$5,Assumptions!$F$67,Assumptions!$F$68,Assumptions!$F$69)*Assumptions!$F$65*(1-Assumptions!$F$21)</f>
        <v/>
      </c>
      <c r="D24" s="8">
        <f>Assumptions!$F$66*Assumptions!$F$20/12*CHOOSE(D$5,Assumptions!$F$67,Assumptions!$F$68,Assumptions!$F$69)*Assumptions!$F$65*(1-Assumptions!$F$21)</f>
        <v/>
      </c>
      <c r="E24" s="8">
        <f>Assumptions!$F$66*Assumptions!$F$20/12*CHOOSE(E$5,Assumptions!$F$67,Assumptions!$F$68,Assumptions!$F$69)*Assumptions!$F$65*(1-Assumptions!$F$21)</f>
        <v/>
      </c>
      <c r="F24" s="8">
        <f>Assumptions!$F$66*Assumptions!$F$20/12*CHOOSE(F$5,Assumptions!$F$67,Assumptions!$F$68,Assumptions!$F$69)*Assumptions!$F$65*(1-Assumptions!$F$21)</f>
        <v/>
      </c>
      <c r="G24" s="8">
        <f>Assumptions!$F$66*Assumptions!$F$20/12*CHOOSE(G$5,Assumptions!$F$67,Assumptions!$F$68,Assumptions!$F$69)*Assumptions!$F$65*(1-Assumptions!$F$21)</f>
        <v/>
      </c>
      <c r="H24" s="8">
        <f>Assumptions!$F$66*Assumptions!$F$20/12*CHOOSE(H$5,Assumptions!$F$67,Assumptions!$F$68,Assumptions!$F$69)*Assumptions!$F$65*(1-Assumptions!$F$21)</f>
        <v/>
      </c>
      <c r="I24" s="8">
        <f>Assumptions!$F$66*Assumptions!$F$20/12*CHOOSE(I$5,Assumptions!$F$67,Assumptions!$F$68,Assumptions!$F$69)*Assumptions!$F$65*(1-Assumptions!$F$21)</f>
        <v/>
      </c>
      <c r="J24" s="8">
        <f>Assumptions!$F$66*Assumptions!$F$20/12*CHOOSE(J$5,Assumptions!$F$67,Assumptions!$F$68,Assumptions!$F$69)*Assumptions!$F$65*(1-Assumptions!$F$21)</f>
        <v/>
      </c>
      <c r="K24" s="8">
        <f>Assumptions!$F$66*Assumptions!$F$20/12*CHOOSE(K$5,Assumptions!$F$67,Assumptions!$F$68,Assumptions!$F$69)*Assumptions!$F$65*(1-Assumptions!$F$21)</f>
        <v/>
      </c>
      <c r="L24" s="8">
        <f>Assumptions!$F$66*Assumptions!$F$20/12*CHOOSE(L$5,Assumptions!$F$67,Assumptions!$F$68,Assumptions!$F$69)*Assumptions!$F$65*(1-Assumptions!$F$21)</f>
        <v/>
      </c>
      <c r="M24" s="8">
        <f>Assumptions!$F$66*Assumptions!$F$20/12*CHOOSE(M$5,Assumptions!$F$67,Assumptions!$F$68,Assumptions!$F$69)*Assumptions!$F$65*(1-Assumptions!$F$21)</f>
        <v/>
      </c>
      <c r="N24" s="8">
        <f>Assumptions!$F$66*Assumptions!$F$20/12*CHOOSE(N$5,Assumptions!$F$67,Assumptions!$F$68,Assumptions!$F$69)*Assumptions!$F$65*(1-Assumptions!$F$21)</f>
        <v/>
      </c>
      <c r="O24" s="8">
        <f>Assumptions!$F$66*Assumptions!$F$20/12*CHOOSE(O$5,Assumptions!$F$67,Assumptions!$F$68,Assumptions!$F$69)*Assumptions!$F$65*(1-Assumptions!$F$21)</f>
        <v/>
      </c>
      <c r="P24" s="8">
        <f>Assumptions!$F$66*Assumptions!$F$20/12*CHOOSE(P$5,Assumptions!$F$67,Assumptions!$F$68,Assumptions!$F$69)*Assumptions!$F$65*(1-Assumptions!$F$21)</f>
        <v/>
      </c>
      <c r="Q24" s="8">
        <f>Assumptions!$F$66*Assumptions!$F$20/12*CHOOSE(Q$5,Assumptions!$F$67,Assumptions!$F$68,Assumptions!$F$69)*Assumptions!$F$65*(1-Assumptions!$F$21)</f>
        <v/>
      </c>
      <c r="R24" s="8">
        <f>Assumptions!$F$66*Assumptions!$F$20/12*CHOOSE(R$5,Assumptions!$F$67,Assumptions!$F$68,Assumptions!$F$69)*Assumptions!$F$65*(1-Assumptions!$F$21)</f>
        <v/>
      </c>
      <c r="S24" s="8">
        <f>Assumptions!$F$66*Assumptions!$F$20/12*CHOOSE(S$5,Assumptions!$F$67,Assumptions!$F$68,Assumptions!$F$69)*Assumptions!$F$65*(1-Assumptions!$F$21)</f>
        <v/>
      </c>
      <c r="T24" s="8">
        <f>Assumptions!$F$66*Assumptions!$F$20/12*CHOOSE(T$5,Assumptions!$F$67,Assumptions!$F$68,Assumptions!$F$69)*Assumptions!$F$65*(1-Assumptions!$F$21)</f>
        <v/>
      </c>
      <c r="U24" s="8">
        <f>Assumptions!$F$66*Assumptions!$F$20/12*CHOOSE(U$5,Assumptions!$F$67,Assumptions!$F$68,Assumptions!$F$69)*Assumptions!$F$65*(1-Assumptions!$F$21)</f>
        <v/>
      </c>
      <c r="V24" s="8">
        <f>Assumptions!$F$66*Assumptions!$F$20/12*CHOOSE(V$5,Assumptions!$F$67,Assumptions!$F$68,Assumptions!$F$69)*Assumptions!$F$65*(1-Assumptions!$F$21)</f>
        <v/>
      </c>
      <c r="W24" s="8">
        <f>Assumptions!$F$66*Assumptions!$F$20/12*CHOOSE(W$5,Assumptions!$F$67,Assumptions!$F$68,Assumptions!$F$69)*Assumptions!$F$65*(1-Assumptions!$F$21)</f>
        <v/>
      </c>
      <c r="X24" s="8">
        <f>Assumptions!$F$66*Assumptions!$F$20/12*CHOOSE(X$5,Assumptions!$F$67,Assumptions!$F$68,Assumptions!$F$69)*Assumptions!$F$65*(1-Assumptions!$F$21)</f>
        <v/>
      </c>
      <c r="Y24" s="8">
        <f>Assumptions!$F$66*Assumptions!$F$20/12*CHOOSE(Y$5,Assumptions!$F$67,Assumptions!$F$68,Assumptions!$F$69)*Assumptions!$F$65*(1-Assumptions!$F$21)</f>
        <v/>
      </c>
      <c r="Z24" s="8">
        <f>Assumptions!$F$66*Assumptions!$F$20/12*CHOOSE(Z$5,Assumptions!$F$67,Assumptions!$F$68,Assumptions!$F$69)*Assumptions!$F$65*(1-Assumptions!$F$21)</f>
        <v/>
      </c>
      <c r="AA24" s="8">
        <f>Assumptions!$F$66*Assumptions!$F$20/12*CHOOSE(AA$5,Assumptions!$F$67,Assumptions!$F$68,Assumptions!$F$69)*Assumptions!$F$65*(1-Assumptions!$F$21)</f>
        <v/>
      </c>
      <c r="AB24" s="8">
        <f>Assumptions!$F$66*Assumptions!$F$20/12*CHOOSE(AB$5,Assumptions!$F$67,Assumptions!$F$68,Assumptions!$F$69)*Assumptions!$F$65*(1-Assumptions!$F$21)</f>
        <v/>
      </c>
      <c r="AC24" s="8">
        <f>Assumptions!$F$66*Assumptions!$F$20/12*CHOOSE(AC$5,Assumptions!$F$67,Assumptions!$F$68,Assumptions!$F$69)*Assumptions!$F$65*(1-Assumptions!$F$21)</f>
        <v/>
      </c>
      <c r="AD24" s="8">
        <f>Assumptions!$F$66*Assumptions!$F$20/12*CHOOSE(AD$5,Assumptions!$F$67,Assumptions!$F$68,Assumptions!$F$69)*Assumptions!$F$65*(1-Assumptions!$F$21)</f>
        <v/>
      </c>
      <c r="AE24" s="8">
        <f>Assumptions!$F$66*Assumptions!$F$20/12*CHOOSE(AE$5,Assumptions!$F$67,Assumptions!$F$68,Assumptions!$F$69)*Assumptions!$F$65*(1-Assumptions!$F$21)</f>
        <v/>
      </c>
      <c r="AF24" s="8">
        <f>Assumptions!$F$66*Assumptions!$F$20/12*CHOOSE(AF$5,Assumptions!$F$67,Assumptions!$F$68,Assumptions!$F$69)*Assumptions!$F$65*(1-Assumptions!$F$21)</f>
        <v/>
      </c>
      <c r="AG24" s="8">
        <f>Assumptions!$F$66*Assumptions!$F$20/12*CHOOSE(AG$5,Assumptions!$F$67,Assumptions!$F$68,Assumptions!$F$69)*Assumptions!$F$65*(1-Assumptions!$F$21)</f>
        <v/>
      </c>
      <c r="AH24" s="8">
        <f>Assumptions!$F$66*Assumptions!$F$20/12*CHOOSE(AH$5,Assumptions!$F$67,Assumptions!$F$68,Assumptions!$F$69)*Assumptions!$F$65*(1-Assumptions!$F$21)</f>
        <v/>
      </c>
      <c r="AI24" s="8">
        <f>Assumptions!$F$66*Assumptions!$F$20/12*CHOOSE(AI$5,Assumptions!$F$67,Assumptions!$F$68,Assumptions!$F$69)*Assumptions!$F$65*(1-Assumptions!$F$21)</f>
        <v/>
      </c>
      <c r="AJ24" s="8">
        <f>Assumptions!$F$66*Assumptions!$F$20/12*CHOOSE(AJ$5,Assumptions!$F$67,Assumptions!$F$68,Assumptions!$F$69)*Assumptions!$F$65*(1-Assumptions!$F$21)</f>
        <v/>
      </c>
      <c r="AK24" s="8">
        <f>Assumptions!$F$66*Assumptions!$F$20/12*CHOOSE(AK$5,Assumptions!$F$67,Assumptions!$F$68,Assumptions!$F$69)*Assumptions!$F$65*(1-Assumptions!$F$21)</f>
        <v/>
      </c>
      <c r="AL24" s="8">
        <f>Assumptions!$F$66*Assumptions!$F$20/12*CHOOSE(AL$5,Assumptions!$F$67,Assumptions!$F$68,Assumptions!$F$69)*Assumptions!$F$65*(1-Assumptions!$F$21)</f>
        <v/>
      </c>
    </row>
    <row r="25">
      <c r="B25" s="2" t="inlineStr">
        <is>
          <t>3x3 leagues</t>
        </is>
      </c>
      <c r="C25" s="8">
        <f>CHOOSE(C$5,Assumptions!$F$74,Assumptions!$F$75,Assumptions!$F$76)*Assumptions!$F$72*Assumptions!$F$73/12*(1-Assumptions!$F$21)</f>
        <v/>
      </c>
      <c r="D25" s="8">
        <f>CHOOSE(D$5,Assumptions!$F$74,Assumptions!$F$75,Assumptions!$F$76)*Assumptions!$F$72*Assumptions!$F$73/12*(1-Assumptions!$F$21)</f>
        <v/>
      </c>
      <c r="E25" s="8">
        <f>CHOOSE(E$5,Assumptions!$F$74,Assumptions!$F$75,Assumptions!$F$76)*Assumptions!$F$72*Assumptions!$F$73/12*(1-Assumptions!$F$21)</f>
        <v/>
      </c>
      <c r="F25" s="8">
        <f>CHOOSE(F$5,Assumptions!$F$74,Assumptions!$F$75,Assumptions!$F$76)*Assumptions!$F$72*Assumptions!$F$73/12*(1-Assumptions!$F$21)</f>
        <v/>
      </c>
      <c r="G25" s="8">
        <f>CHOOSE(G$5,Assumptions!$F$74,Assumptions!$F$75,Assumptions!$F$76)*Assumptions!$F$72*Assumptions!$F$73/12*(1-Assumptions!$F$21)</f>
        <v/>
      </c>
      <c r="H25" s="8">
        <f>CHOOSE(H$5,Assumptions!$F$74,Assumptions!$F$75,Assumptions!$F$76)*Assumptions!$F$72*Assumptions!$F$73/12*(1-Assumptions!$F$21)</f>
        <v/>
      </c>
      <c r="I25" s="8">
        <f>CHOOSE(I$5,Assumptions!$F$74,Assumptions!$F$75,Assumptions!$F$76)*Assumptions!$F$72*Assumptions!$F$73/12*(1-Assumptions!$F$21)</f>
        <v/>
      </c>
      <c r="J25" s="8">
        <f>CHOOSE(J$5,Assumptions!$F$74,Assumptions!$F$75,Assumptions!$F$76)*Assumptions!$F$72*Assumptions!$F$73/12*(1-Assumptions!$F$21)</f>
        <v/>
      </c>
      <c r="K25" s="8">
        <f>CHOOSE(K$5,Assumptions!$F$74,Assumptions!$F$75,Assumptions!$F$76)*Assumptions!$F$72*Assumptions!$F$73/12*(1-Assumptions!$F$21)</f>
        <v/>
      </c>
      <c r="L25" s="8">
        <f>CHOOSE(L$5,Assumptions!$F$74,Assumptions!$F$75,Assumptions!$F$76)*Assumptions!$F$72*Assumptions!$F$73/12*(1-Assumptions!$F$21)</f>
        <v/>
      </c>
      <c r="M25" s="8">
        <f>CHOOSE(M$5,Assumptions!$F$74,Assumptions!$F$75,Assumptions!$F$76)*Assumptions!$F$72*Assumptions!$F$73/12*(1-Assumptions!$F$21)</f>
        <v/>
      </c>
      <c r="N25" s="8">
        <f>CHOOSE(N$5,Assumptions!$F$74,Assumptions!$F$75,Assumptions!$F$76)*Assumptions!$F$72*Assumptions!$F$73/12*(1-Assumptions!$F$21)</f>
        <v/>
      </c>
      <c r="O25" s="8">
        <f>CHOOSE(O$5,Assumptions!$F$74,Assumptions!$F$75,Assumptions!$F$76)*Assumptions!$F$72*Assumptions!$F$73/12*(1-Assumptions!$F$21)</f>
        <v/>
      </c>
      <c r="P25" s="8">
        <f>CHOOSE(P$5,Assumptions!$F$74,Assumptions!$F$75,Assumptions!$F$76)*Assumptions!$F$72*Assumptions!$F$73/12*(1-Assumptions!$F$21)</f>
        <v/>
      </c>
      <c r="Q25" s="8">
        <f>CHOOSE(Q$5,Assumptions!$F$74,Assumptions!$F$75,Assumptions!$F$76)*Assumptions!$F$72*Assumptions!$F$73/12*(1-Assumptions!$F$21)</f>
        <v/>
      </c>
      <c r="R25" s="8">
        <f>CHOOSE(R$5,Assumptions!$F$74,Assumptions!$F$75,Assumptions!$F$76)*Assumptions!$F$72*Assumptions!$F$73/12*(1-Assumptions!$F$21)</f>
        <v/>
      </c>
      <c r="S25" s="8">
        <f>CHOOSE(S$5,Assumptions!$F$74,Assumptions!$F$75,Assumptions!$F$76)*Assumptions!$F$72*Assumptions!$F$73/12*(1-Assumptions!$F$21)</f>
        <v/>
      </c>
      <c r="T25" s="8">
        <f>CHOOSE(T$5,Assumptions!$F$74,Assumptions!$F$75,Assumptions!$F$76)*Assumptions!$F$72*Assumptions!$F$73/12*(1-Assumptions!$F$21)</f>
        <v/>
      </c>
      <c r="U25" s="8">
        <f>CHOOSE(U$5,Assumptions!$F$74,Assumptions!$F$75,Assumptions!$F$76)*Assumptions!$F$72*Assumptions!$F$73/12*(1-Assumptions!$F$21)</f>
        <v/>
      </c>
      <c r="V25" s="8">
        <f>CHOOSE(V$5,Assumptions!$F$74,Assumptions!$F$75,Assumptions!$F$76)*Assumptions!$F$72*Assumptions!$F$73/12*(1-Assumptions!$F$21)</f>
        <v/>
      </c>
      <c r="W25" s="8">
        <f>CHOOSE(W$5,Assumptions!$F$74,Assumptions!$F$75,Assumptions!$F$76)*Assumptions!$F$72*Assumptions!$F$73/12*(1-Assumptions!$F$21)</f>
        <v/>
      </c>
      <c r="X25" s="8">
        <f>CHOOSE(X$5,Assumptions!$F$74,Assumptions!$F$75,Assumptions!$F$76)*Assumptions!$F$72*Assumptions!$F$73/12*(1-Assumptions!$F$21)</f>
        <v/>
      </c>
      <c r="Y25" s="8">
        <f>CHOOSE(Y$5,Assumptions!$F$74,Assumptions!$F$75,Assumptions!$F$76)*Assumptions!$F$72*Assumptions!$F$73/12*(1-Assumptions!$F$21)</f>
        <v/>
      </c>
      <c r="Z25" s="8">
        <f>CHOOSE(Z$5,Assumptions!$F$74,Assumptions!$F$75,Assumptions!$F$76)*Assumptions!$F$72*Assumptions!$F$73/12*(1-Assumptions!$F$21)</f>
        <v/>
      </c>
      <c r="AA25" s="8">
        <f>CHOOSE(AA$5,Assumptions!$F$74,Assumptions!$F$75,Assumptions!$F$76)*Assumptions!$F$72*Assumptions!$F$73/12*(1-Assumptions!$F$21)</f>
        <v/>
      </c>
      <c r="AB25" s="8">
        <f>CHOOSE(AB$5,Assumptions!$F$74,Assumptions!$F$75,Assumptions!$F$76)*Assumptions!$F$72*Assumptions!$F$73/12*(1-Assumptions!$F$21)</f>
        <v/>
      </c>
      <c r="AC25" s="8">
        <f>CHOOSE(AC$5,Assumptions!$F$74,Assumptions!$F$75,Assumptions!$F$76)*Assumptions!$F$72*Assumptions!$F$73/12*(1-Assumptions!$F$21)</f>
        <v/>
      </c>
      <c r="AD25" s="8">
        <f>CHOOSE(AD$5,Assumptions!$F$74,Assumptions!$F$75,Assumptions!$F$76)*Assumptions!$F$72*Assumptions!$F$73/12*(1-Assumptions!$F$21)</f>
        <v/>
      </c>
      <c r="AE25" s="8">
        <f>CHOOSE(AE$5,Assumptions!$F$74,Assumptions!$F$75,Assumptions!$F$76)*Assumptions!$F$72*Assumptions!$F$73/12*(1-Assumptions!$F$21)</f>
        <v/>
      </c>
      <c r="AF25" s="8">
        <f>CHOOSE(AF$5,Assumptions!$F$74,Assumptions!$F$75,Assumptions!$F$76)*Assumptions!$F$72*Assumptions!$F$73/12*(1-Assumptions!$F$21)</f>
        <v/>
      </c>
      <c r="AG25" s="8">
        <f>CHOOSE(AG$5,Assumptions!$F$74,Assumptions!$F$75,Assumptions!$F$76)*Assumptions!$F$72*Assumptions!$F$73/12*(1-Assumptions!$F$21)</f>
        <v/>
      </c>
      <c r="AH25" s="8">
        <f>CHOOSE(AH$5,Assumptions!$F$74,Assumptions!$F$75,Assumptions!$F$76)*Assumptions!$F$72*Assumptions!$F$73/12*(1-Assumptions!$F$21)</f>
        <v/>
      </c>
      <c r="AI25" s="8">
        <f>CHOOSE(AI$5,Assumptions!$F$74,Assumptions!$F$75,Assumptions!$F$76)*Assumptions!$F$72*Assumptions!$F$73/12*(1-Assumptions!$F$21)</f>
        <v/>
      </c>
      <c r="AJ25" s="8">
        <f>CHOOSE(AJ$5,Assumptions!$F$74,Assumptions!$F$75,Assumptions!$F$76)*Assumptions!$F$72*Assumptions!$F$73/12*(1-Assumptions!$F$21)</f>
        <v/>
      </c>
      <c r="AK25" s="8">
        <f>CHOOSE(AK$5,Assumptions!$F$74,Assumptions!$F$75,Assumptions!$F$76)*Assumptions!$F$72*Assumptions!$F$73/12*(1-Assumptions!$F$21)</f>
        <v/>
      </c>
      <c r="AL25" s="8">
        <f>CHOOSE(AL$5,Assumptions!$F$74,Assumptions!$F$75,Assumptions!$F$76)*Assumptions!$F$72*Assumptions!$F$73/12*(1-Assumptions!$F$21)</f>
        <v/>
      </c>
    </row>
    <row r="26">
      <c r="B26" s="2" t="inlineStr">
        <is>
          <t>School PE support and CPD</t>
        </is>
      </c>
      <c r="C26" s="8">
        <f>CHOOSE(C$5,Assumptions!$F$79,Assumptions!$F$80,Assumptions!$F$81)/12*(1-Assumptions!$F$21)</f>
        <v/>
      </c>
      <c r="D26" s="8">
        <f>CHOOSE(D$5,Assumptions!$F$79,Assumptions!$F$80,Assumptions!$F$81)/12*(1-Assumptions!$F$21)</f>
        <v/>
      </c>
      <c r="E26" s="8">
        <f>CHOOSE(E$5,Assumptions!$F$79,Assumptions!$F$80,Assumptions!$F$81)/12*(1-Assumptions!$F$21)</f>
        <v/>
      </c>
      <c r="F26" s="8">
        <f>CHOOSE(F$5,Assumptions!$F$79,Assumptions!$F$80,Assumptions!$F$81)/12*(1-Assumptions!$F$21)</f>
        <v/>
      </c>
      <c r="G26" s="8">
        <f>CHOOSE(G$5,Assumptions!$F$79,Assumptions!$F$80,Assumptions!$F$81)/12*(1-Assumptions!$F$21)</f>
        <v/>
      </c>
      <c r="H26" s="8">
        <f>CHOOSE(H$5,Assumptions!$F$79,Assumptions!$F$80,Assumptions!$F$81)/12*(1-Assumptions!$F$21)</f>
        <v/>
      </c>
      <c r="I26" s="8">
        <f>CHOOSE(I$5,Assumptions!$F$79,Assumptions!$F$80,Assumptions!$F$81)/12*(1-Assumptions!$F$21)</f>
        <v/>
      </c>
      <c r="J26" s="8">
        <f>CHOOSE(J$5,Assumptions!$F$79,Assumptions!$F$80,Assumptions!$F$81)/12*(1-Assumptions!$F$21)</f>
        <v/>
      </c>
      <c r="K26" s="8">
        <f>CHOOSE(K$5,Assumptions!$F$79,Assumptions!$F$80,Assumptions!$F$81)/12*(1-Assumptions!$F$21)</f>
        <v/>
      </c>
      <c r="L26" s="8">
        <f>CHOOSE(L$5,Assumptions!$F$79,Assumptions!$F$80,Assumptions!$F$81)/12*(1-Assumptions!$F$21)</f>
        <v/>
      </c>
      <c r="M26" s="8">
        <f>CHOOSE(M$5,Assumptions!$F$79,Assumptions!$F$80,Assumptions!$F$81)/12*(1-Assumptions!$F$21)</f>
        <v/>
      </c>
      <c r="N26" s="8">
        <f>CHOOSE(N$5,Assumptions!$F$79,Assumptions!$F$80,Assumptions!$F$81)/12*(1-Assumptions!$F$21)</f>
        <v/>
      </c>
      <c r="O26" s="8">
        <f>CHOOSE(O$5,Assumptions!$F$79,Assumptions!$F$80,Assumptions!$F$81)/12*(1-Assumptions!$F$21)</f>
        <v/>
      </c>
      <c r="P26" s="8">
        <f>CHOOSE(P$5,Assumptions!$F$79,Assumptions!$F$80,Assumptions!$F$81)/12*(1-Assumptions!$F$21)</f>
        <v/>
      </c>
      <c r="Q26" s="8">
        <f>CHOOSE(Q$5,Assumptions!$F$79,Assumptions!$F$80,Assumptions!$F$81)/12*(1-Assumptions!$F$21)</f>
        <v/>
      </c>
      <c r="R26" s="8">
        <f>CHOOSE(R$5,Assumptions!$F$79,Assumptions!$F$80,Assumptions!$F$81)/12*(1-Assumptions!$F$21)</f>
        <v/>
      </c>
      <c r="S26" s="8">
        <f>CHOOSE(S$5,Assumptions!$F$79,Assumptions!$F$80,Assumptions!$F$81)/12*(1-Assumptions!$F$21)</f>
        <v/>
      </c>
      <c r="T26" s="8">
        <f>CHOOSE(T$5,Assumptions!$F$79,Assumptions!$F$80,Assumptions!$F$81)/12*(1-Assumptions!$F$21)</f>
        <v/>
      </c>
      <c r="U26" s="8">
        <f>CHOOSE(U$5,Assumptions!$F$79,Assumptions!$F$80,Assumptions!$F$81)/12*(1-Assumptions!$F$21)</f>
        <v/>
      </c>
      <c r="V26" s="8">
        <f>CHOOSE(V$5,Assumptions!$F$79,Assumptions!$F$80,Assumptions!$F$81)/12*(1-Assumptions!$F$21)</f>
        <v/>
      </c>
      <c r="W26" s="8">
        <f>CHOOSE(W$5,Assumptions!$F$79,Assumptions!$F$80,Assumptions!$F$81)/12*(1-Assumptions!$F$21)</f>
        <v/>
      </c>
      <c r="X26" s="8">
        <f>CHOOSE(X$5,Assumptions!$F$79,Assumptions!$F$80,Assumptions!$F$81)/12*(1-Assumptions!$F$21)</f>
        <v/>
      </c>
      <c r="Y26" s="8">
        <f>CHOOSE(Y$5,Assumptions!$F$79,Assumptions!$F$80,Assumptions!$F$81)/12*(1-Assumptions!$F$21)</f>
        <v/>
      </c>
      <c r="Z26" s="8">
        <f>CHOOSE(Z$5,Assumptions!$F$79,Assumptions!$F$80,Assumptions!$F$81)/12*(1-Assumptions!$F$21)</f>
        <v/>
      </c>
      <c r="AA26" s="8">
        <f>CHOOSE(AA$5,Assumptions!$F$79,Assumptions!$F$80,Assumptions!$F$81)/12*(1-Assumptions!$F$21)</f>
        <v/>
      </c>
      <c r="AB26" s="8">
        <f>CHOOSE(AB$5,Assumptions!$F$79,Assumptions!$F$80,Assumptions!$F$81)/12*(1-Assumptions!$F$21)</f>
        <v/>
      </c>
      <c r="AC26" s="8">
        <f>CHOOSE(AC$5,Assumptions!$F$79,Assumptions!$F$80,Assumptions!$F$81)/12*(1-Assumptions!$F$21)</f>
        <v/>
      </c>
      <c r="AD26" s="8">
        <f>CHOOSE(AD$5,Assumptions!$F$79,Assumptions!$F$80,Assumptions!$F$81)/12*(1-Assumptions!$F$21)</f>
        <v/>
      </c>
      <c r="AE26" s="8">
        <f>CHOOSE(AE$5,Assumptions!$F$79,Assumptions!$F$80,Assumptions!$F$81)/12*(1-Assumptions!$F$21)</f>
        <v/>
      </c>
      <c r="AF26" s="8">
        <f>CHOOSE(AF$5,Assumptions!$F$79,Assumptions!$F$80,Assumptions!$F$81)/12*(1-Assumptions!$F$21)</f>
        <v/>
      </c>
      <c r="AG26" s="8">
        <f>CHOOSE(AG$5,Assumptions!$F$79,Assumptions!$F$80,Assumptions!$F$81)/12*(1-Assumptions!$F$21)</f>
        <v/>
      </c>
      <c r="AH26" s="8">
        <f>CHOOSE(AH$5,Assumptions!$F$79,Assumptions!$F$80,Assumptions!$F$81)/12*(1-Assumptions!$F$21)</f>
        <v/>
      </c>
      <c r="AI26" s="8">
        <f>CHOOSE(AI$5,Assumptions!$F$79,Assumptions!$F$80,Assumptions!$F$81)/12*(1-Assumptions!$F$21)</f>
        <v/>
      </c>
      <c r="AJ26" s="8">
        <f>CHOOSE(AJ$5,Assumptions!$F$79,Assumptions!$F$80,Assumptions!$F$81)/12*(1-Assumptions!$F$21)</f>
        <v/>
      </c>
      <c r="AK26" s="8">
        <f>CHOOSE(AK$5,Assumptions!$F$79,Assumptions!$F$80,Assumptions!$F$81)/12*(1-Assumptions!$F$21)</f>
        <v/>
      </c>
      <c r="AL26" s="8">
        <f>CHOOSE(AL$5,Assumptions!$F$79,Assumptions!$F$80,Assumptions!$F$81)/12*(1-Assumptions!$F$21)</f>
        <v/>
      </c>
    </row>
    <row r="27">
      <c r="B27" s="2" t="inlineStr">
        <is>
          <t>Hire of unused hours</t>
        </is>
      </c>
      <c r="C27" s="8">
        <f>CHOOSE(C$5,Assumptions!$F$82,Assumptions!$F$83,Assumptions!$F$84)/12*(1-Assumptions!$F$21)</f>
        <v/>
      </c>
      <c r="D27" s="8">
        <f>CHOOSE(D$5,Assumptions!$F$82,Assumptions!$F$83,Assumptions!$F$84)/12*(1-Assumptions!$F$21)</f>
        <v/>
      </c>
      <c r="E27" s="8">
        <f>CHOOSE(E$5,Assumptions!$F$82,Assumptions!$F$83,Assumptions!$F$84)/12*(1-Assumptions!$F$21)</f>
        <v/>
      </c>
      <c r="F27" s="8">
        <f>CHOOSE(F$5,Assumptions!$F$82,Assumptions!$F$83,Assumptions!$F$84)/12*(1-Assumptions!$F$21)</f>
        <v/>
      </c>
      <c r="G27" s="8">
        <f>CHOOSE(G$5,Assumptions!$F$82,Assumptions!$F$83,Assumptions!$F$84)/12*(1-Assumptions!$F$21)</f>
        <v/>
      </c>
      <c r="H27" s="8">
        <f>CHOOSE(H$5,Assumptions!$F$82,Assumptions!$F$83,Assumptions!$F$84)/12*(1-Assumptions!$F$21)</f>
        <v/>
      </c>
      <c r="I27" s="8">
        <f>CHOOSE(I$5,Assumptions!$F$82,Assumptions!$F$83,Assumptions!$F$84)/12*(1-Assumptions!$F$21)</f>
        <v/>
      </c>
      <c r="J27" s="8">
        <f>CHOOSE(J$5,Assumptions!$F$82,Assumptions!$F$83,Assumptions!$F$84)/12*(1-Assumptions!$F$21)</f>
        <v/>
      </c>
      <c r="K27" s="8">
        <f>CHOOSE(K$5,Assumptions!$F$82,Assumptions!$F$83,Assumptions!$F$84)/12*(1-Assumptions!$F$21)</f>
        <v/>
      </c>
      <c r="L27" s="8">
        <f>CHOOSE(L$5,Assumptions!$F$82,Assumptions!$F$83,Assumptions!$F$84)/12*(1-Assumptions!$F$21)</f>
        <v/>
      </c>
      <c r="M27" s="8">
        <f>CHOOSE(M$5,Assumptions!$F$82,Assumptions!$F$83,Assumptions!$F$84)/12*(1-Assumptions!$F$21)</f>
        <v/>
      </c>
      <c r="N27" s="8">
        <f>CHOOSE(N$5,Assumptions!$F$82,Assumptions!$F$83,Assumptions!$F$84)/12*(1-Assumptions!$F$21)</f>
        <v/>
      </c>
      <c r="O27" s="8">
        <f>CHOOSE(O$5,Assumptions!$F$82,Assumptions!$F$83,Assumptions!$F$84)/12*(1-Assumptions!$F$21)</f>
        <v/>
      </c>
      <c r="P27" s="8">
        <f>CHOOSE(P$5,Assumptions!$F$82,Assumptions!$F$83,Assumptions!$F$84)/12*(1-Assumptions!$F$21)</f>
        <v/>
      </c>
      <c r="Q27" s="8">
        <f>CHOOSE(Q$5,Assumptions!$F$82,Assumptions!$F$83,Assumptions!$F$84)/12*(1-Assumptions!$F$21)</f>
        <v/>
      </c>
      <c r="R27" s="8">
        <f>CHOOSE(R$5,Assumptions!$F$82,Assumptions!$F$83,Assumptions!$F$84)/12*(1-Assumptions!$F$21)</f>
        <v/>
      </c>
      <c r="S27" s="8">
        <f>CHOOSE(S$5,Assumptions!$F$82,Assumptions!$F$83,Assumptions!$F$84)/12*(1-Assumptions!$F$21)</f>
        <v/>
      </c>
      <c r="T27" s="8">
        <f>CHOOSE(T$5,Assumptions!$F$82,Assumptions!$F$83,Assumptions!$F$84)/12*(1-Assumptions!$F$21)</f>
        <v/>
      </c>
      <c r="U27" s="8">
        <f>CHOOSE(U$5,Assumptions!$F$82,Assumptions!$F$83,Assumptions!$F$84)/12*(1-Assumptions!$F$21)</f>
        <v/>
      </c>
      <c r="V27" s="8">
        <f>CHOOSE(V$5,Assumptions!$F$82,Assumptions!$F$83,Assumptions!$F$84)/12*(1-Assumptions!$F$21)</f>
        <v/>
      </c>
      <c r="W27" s="8">
        <f>CHOOSE(W$5,Assumptions!$F$82,Assumptions!$F$83,Assumptions!$F$84)/12*(1-Assumptions!$F$21)</f>
        <v/>
      </c>
      <c r="X27" s="8">
        <f>CHOOSE(X$5,Assumptions!$F$82,Assumptions!$F$83,Assumptions!$F$84)/12*(1-Assumptions!$F$21)</f>
        <v/>
      </c>
      <c r="Y27" s="8">
        <f>CHOOSE(Y$5,Assumptions!$F$82,Assumptions!$F$83,Assumptions!$F$84)/12*(1-Assumptions!$F$21)</f>
        <v/>
      </c>
      <c r="Z27" s="8">
        <f>CHOOSE(Z$5,Assumptions!$F$82,Assumptions!$F$83,Assumptions!$F$84)/12*(1-Assumptions!$F$21)</f>
        <v/>
      </c>
      <c r="AA27" s="8">
        <f>CHOOSE(AA$5,Assumptions!$F$82,Assumptions!$F$83,Assumptions!$F$84)/12*(1-Assumptions!$F$21)</f>
        <v/>
      </c>
      <c r="AB27" s="8">
        <f>CHOOSE(AB$5,Assumptions!$F$82,Assumptions!$F$83,Assumptions!$F$84)/12*(1-Assumptions!$F$21)</f>
        <v/>
      </c>
      <c r="AC27" s="8">
        <f>CHOOSE(AC$5,Assumptions!$F$82,Assumptions!$F$83,Assumptions!$F$84)/12*(1-Assumptions!$F$21)</f>
        <v/>
      </c>
      <c r="AD27" s="8">
        <f>CHOOSE(AD$5,Assumptions!$F$82,Assumptions!$F$83,Assumptions!$F$84)/12*(1-Assumptions!$F$21)</f>
        <v/>
      </c>
      <c r="AE27" s="8">
        <f>CHOOSE(AE$5,Assumptions!$F$82,Assumptions!$F$83,Assumptions!$F$84)/12*(1-Assumptions!$F$21)</f>
        <v/>
      </c>
      <c r="AF27" s="8">
        <f>CHOOSE(AF$5,Assumptions!$F$82,Assumptions!$F$83,Assumptions!$F$84)/12*(1-Assumptions!$F$21)</f>
        <v/>
      </c>
      <c r="AG27" s="8">
        <f>CHOOSE(AG$5,Assumptions!$F$82,Assumptions!$F$83,Assumptions!$F$84)/12*(1-Assumptions!$F$21)</f>
        <v/>
      </c>
      <c r="AH27" s="8">
        <f>CHOOSE(AH$5,Assumptions!$F$82,Assumptions!$F$83,Assumptions!$F$84)/12*(1-Assumptions!$F$21)</f>
        <v/>
      </c>
      <c r="AI27" s="8">
        <f>CHOOSE(AI$5,Assumptions!$F$82,Assumptions!$F$83,Assumptions!$F$84)/12*(1-Assumptions!$F$21)</f>
        <v/>
      </c>
      <c r="AJ27" s="8">
        <f>CHOOSE(AJ$5,Assumptions!$F$82,Assumptions!$F$83,Assumptions!$F$84)/12*(1-Assumptions!$F$21)</f>
        <v/>
      </c>
      <c r="AK27" s="8">
        <f>CHOOSE(AK$5,Assumptions!$F$82,Assumptions!$F$83,Assumptions!$F$84)/12*(1-Assumptions!$F$21)</f>
        <v/>
      </c>
      <c r="AL27" s="8">
        <f>CHOOSE(AL$5,Assumptions!$F$82,Assumptions!$F$83,Assumptions!$F$84)/12*(1-Assumptions!$F$21)</f>
        <v/>
      </c>
    </row>
    <row r="28">
      <c r="B28" s="2" t="inlineStr">
        <is>
          <t>Grants for community sessions</t>
        </is>
      </c>
      <c r="C28" s="8">
        <f>Assumptions!$F$86*Assumptions!$F$20/12*Assumptions!$F$28*CHOOSE(C$5,Assumptions!$F$87,Assumptions!$F$88,Assumptions!$F$89)</f>
        <v/>
      </c>
      <c r="D28" s="8">
        <f>Assumptions!$F$86*Assumptions!$F$20/12*Assumptions!$F$28*CHOOSE(D$5,Assumptions!$F$87,Assumptions!$F$88,Assumptions!$F$89)</f>
        <v/>
      </c>
      <c r="E28" s="8">
        <f>Assumptions!$F$86*Assumptions!$F$20/12*Assumptions!$F$28*CHOOSE(E$5,Assumptions!$F$87,Assumptions!$F$88,Assumptions!$F$89)</f>
        <v/>
      </c>
      <c r="F28" s="8">
        <f>Assumptions!$F$86*Assumptions!$F$20/12*Assumptions!$F$28*CHOOSE(F$5,Assumptions!$F$87,Assumptions!$F$88,Assumptions!$F$89)</f>
        <v/>
      </c>
      <c r="G28" s="8">
        <f>Assumptions!$F$86*Assumptions!$F$20/12*Assumptions!$F$28*CHOOSE(G$5,Assumptions!$F$87,Assumptions!$F$88,Assumptions!$F$89)</f>
        <v/>
      </c>
      <c r="H28" s="8">
        <f>Assumptions!$F$86*Assumptions!$F$20/12*Assumptions!$F$28*CHOOSE(H$5,Assumptions!$F$87,Assumptions!$F$88,Assumptions!$F$89)</f>
        <v/>
      </c>
      <c r="I28" s="8">
        <f>Assumptions!$F$86*Assumptions!$F$20/12*Assumptions!$F$28*CHOOSE(I$5,Assumptions!$F$87,Assumptions!$F$88,Assumptions!$F$89)</f>
        <v/>
      </c>
      <c r="J28" s="8">
        <f>Assumptions!$F$86*Assumptions!$F$20/12*Assumptions!$F$28*CHOOSE(J$5,Assumptions!$F$87,Assumptions!$F$88,Assumptions!$F$89)</f>
        <v/>
      </c>
      <c r="K28" s="8">
        <f>Assumptions!$F$86*Assumptions!$F$20/12*Assumptions!$F$28*CHOOSE(K$5,Assumptions!$F$87,Assumptions!$F$88,Assumptions!$F$89)</f>
        <v/>
      </c>
      <c r="L28" s="8">
        <f>Assumptions!$F$86*Assumptions!$F$20/12*Assumptions!$F$28*CHOOSE(L$5,Assumptions!$F$87,Assumptions!$F$88,Assumptions!$F$89)</f>
        <v/>
      </c>
      <c r="M28" s="8">
        <f>Assumptions!$F$86*Assumptions!$F$20/12*Assumptions!$F$28*CHOOSE(M$5,Assumptions!$F$87,Assumptions!$F$88,Assumptions!$F$89)</f>
        <v/>
      </c>
      <c r="N28" s="8">
        <f>Assumptions!$F$86*Assumptions!$F$20/12*Assumptions!$F$28*CHOOSE(N$5,Assumptions!$F$87,Assumptions!$F$88,Assumptions!$F$89)</f>
        <v/>
      </c>
      <c r="O28" s="8">
        <f>Assumptions!$F$86*Assumptions!$F$20/12*Assumptions!$F$28*CHOOSE(O$5,Assumptions!$F$87,Assumptions!$F$88,Assumptions!$F$89)</f>
        <v/>
      </c>
      <c r="P28" s="8">
        <f>Assumptions!$F$86*Assumptions!$F$20/12*Assumptions!$F$28*CHOOSE(P$5,Assumptions!$F$87,Assumptions!$F$88,Assumptions!$F$89)</f>
        <v/>
      </c>
      <c r="Q28" s="8">
        <f>Assumptions!$F$86*Assumptions!$F$20/12*Assumptions!$F$28*CHOOSE(Q$5,Assumptions!$F$87,Assumptions!$F$88,Assumptions!$F$89)</f>
        <v/>
      </c>
      <c r="R28" s="8">
        <f>Assumptions!$F$86*Assumptions!$F$20/12*Assumptions!$F$28*CHOOSE(R$5,Assumptions!$F$87,Assumptions!$F$88,Assumptions!$F$89)</f>
        <v/>
      </c>
      <c r="S28" s="8">
        <f>Assumptions!$F$86*Assumptions!$F$20/12*Assumptions!$F$28*CHOOSE(S$5,Assumptions!$F$87,Assumptions!$F$88,Assumptions!$F$89)</f>
        <v/>
      </c>
      <c r="T28" s="8">
        <f>Assumptions!$F$86*Assumptions!$F$20/12*Assumptions!$F$28*CHOOSE(T$5,Assumptions!$F$87,Assumptions!$F$88,Assumptions!$F$89)</f>
        <v/>
      </c>
      <c r="U28" s="8">
        <f>Assumptions!$F$86*Assumptions!$F$20/12*Assumptions!$F$28*CHOOSE(U$5,Assumptions!$F$87,Assumptions!$F$88,Assumptions!$F$89)</f>
        <v/>
      </c>
      <c r="V28" s="8">
        <f>Assumptions!$F$86*Assumptions!$F$20/12*Assumptions!$F$28*CHOOSE(V$5,Assumptions!$F$87,Assumptions!$F$88,Assumptions!$F$89)</f>
        <v/>
      </c>
      <c r="W28" s="8">
        <f>Assumptions!$F$86*Assumptions!$F$20/12*Assumptions!$F$28*CHOOSE(W$5,Assumptions!$F$87,Assumptions!$F$88,Assumptions!$F$89)</f>
        <v/>
      </c>
      <c r="X28" s="8">
        <f>Assumptions!$F$86*Assumptions!$F$20/12*Assumptions!$F$28*CHOOSE(X$5,Assumptions!$F$87,Assumptions!$F$88,Assumptions!$F$89)</f>
        <v/>
      </c>
      <c r="Y28" s="8">
        <f>Assumptions!$F$86*Assumptions!$F$20/12*Assumptions!$F$28*CHOOSE(Y$5,Assumptions!$F$87,Assumptions!$F$88,Assumptions!$F$89)</f>
        <v/>
      </c>
      <c r="Z28" s="8">
        <f>Assumptions!$F$86*Assumptions!$F$20/12*Assumptions!$F$28*CHOOSE(Z$5,Assumptions!$F$87,Assumptions!$F$88,Assumptions!$F$89)</f>
        <v/>
      </c>
      <c r="AA28" s="8">
        <f>Assumptions!$F$86*Assumptions!$F$20/12*Assumptions!$F$28*CHOOSE(AA$5,Assumptions!$F$87,Assumptions!$F$88,Assumptions!$F$89)</f>
        <v/>
      </c>
      <c r="AB28" s="8">
        <f>Assumptions!$F$86*Assumptions!$F$20/12*Assumptions!$F$28*CHOOSE(AB$5,Assumptions!$F$87,Assumptions!$F$88,Assumptions!$F$89)</f>
        <v/>
      </c>
      <c r="AC28" s="8">
        <f>Assumptions!$F$86*Assumptions!$F$20/12*Assumptions!$F$28*CHOOSE(AC$5,Assumptions!$F$87,Assumptions!$F$88,Assumptions!$F$89)</f>
        <v/>
      </c>
      <c r="AD28" s="8">
        <f>Assumptions!$F$86*Assumptions!$F$20/12*Assumptions!$F$28*CHOOSE(AD$5,Assumptions!$F$87,Assumptions!$F$88,Assumptions!$F$89)</f>
        <v/>
      </c>
      <c r="AE28" s="8">
        <f>Assumptions!$F$86*Assumptions!$F$20/12*Assumptions!$F$28*CHOOSE(AE$5,Assumptions!$F$87,Assumptions!$F$88,Assumptions!$F$89)</f>
        <v/>
      </c>
      <c r="AF28" s="8">
        <f>Assumptions!$F$86*Assumptions!$F$20/12*Assumptions!$F$28*CHOOSE(AF$5,Assumptions!$F$87,Assumptions!$F$88,Assumptions!$F$89)</f>
        <v/>
      </c>
      <c r="AG28" s="8">
        <f>Assumptions!$F$86*Assumptions!$F$20/12*Assumptions!$F$28*CHOOSE(AG$5,Assumptions!$F$87,Assumptions!$F$88,Assumptions!$F$89)</f>
        <v/>
      </c>
      <c r="AH28" s="8">
        <f>Assumptions!$F$86*Assumptions!$F$20/12*Assumptions!$F$28*CHOOSE(AH$5,Assumptions!$F$87,Assumptions!$F$88,Assumptions!$F$89)</f>
        <v/>
      </c>
      <c r="AI28" s="8">
        <f>Assumptions!$F$86*Assumptions!$F$20/12*Assumptions!$F$28*CHOOSE(AI$5,Assumptions!$F$87,Assumptions!$F$88,Assumptions!$F$89)</f>
        <v/>
      </c>
      <c r="AJ28" s="8">
        <f>Assumptions!$F$86*Assumptions!$F$20/12*Assumptions!$F$28*CHOOSE(AJ$5,Assumptions!$F$87,Assumptions!$F$88,Assumptions!$F$89)</f>
        <v/>
      </c>
      <c r="AK28" s="8">
        <f>Assumptions!$F$86*Assumptions!$F$20/12*Assumptions!$F$28*CHOOSE(AK$5,Assumptions!$F$87,Assumptions!$F$88,Assumptions!$F$89)</f>
        <v/>
      </c>
      <c r="AL28" s="8">
        <f>Assumptions!$F$86*Assumptions!$F$20/12*Assumptions!$F$28*CHOOSE(AL$5,Assumptions!$F$87,Assumptions!$F$88,Assumptions!$F$89)</f>
        <v/>
      </c>
    </row>
    <row r="29">
      <c r="B29" s="9" t="inlineStr">
        <is>
          <t>Total income</t>
        </is>
      </c>
      <c r="C29" s="10">
        <f>SUM(C16:C28)</f>
        <v/>
      </c>
      <c r="D29" s="10">
        <f>SUM(D16:D28)</f>
        <v/>
      </c>
      <c r="E29" s="10">
        <f>SUM(E16:E28)</f>
        <v/>
      </c>
      <c r="F29" s="10">
        <f>SUM(F16:F28)</f>
        <v/>
      </c>
      <c r="G29" s="10">
        <f>SUM(G16:G28)</f>
        <v/>
      </c>
      <c r="H29" s="10">
        <f>SUM(H16:H28)</f>
        <v/>
      </c>
      <c r="I29" s="10">
        <f>SUM(I16:I28)</f>
        <v/>
      </c>
      <c r="J29" s="10">
        <f>SUM(J16:J28)</f>
        <v/>
      </c>
      <c r="K29" s="10">
        <f>SUM(K16:K28)</f>
        <v/>
      </c>
      <c r="L29" s="10">
        <f>SUM(L16:L28)</f>
        <v/>
      </c>
      <c r="M29" s="10">
        <f>SUM(M16:M28)</f>
        <v/>
      </c>
      <c r="N29" s="10">
        <f>SUM(N16:N28)</f>
        <v/>
      </c>
      <c r="O29" s="10">
        <f>SUM(O16:O28)</f>
        <v/>
      </c>
      <c r="P29" s="10">
        <f>SUM(P16:P28)</f>
        <v/>
      </c>
      <c r="Q29" s="10">
        <f>SUM(Q16:Q28)</f>
        <v/>
      </c>
      <c r="R29" s="10">
        <f>SUM(R16:R28)</f>
        <v/>
      </c>
      <c r="S29" s="10">
        <f>SUM(S16:S28)</f>
        <v/>
      </c>
      <c r="T29" s="10">
        <f>SUM(T16:T28)</f>
        <v/>
      </c>
      <c r="U29" s="10">
        <f>SUM(U16:U28)</f>
        <v/>
      </c>
      <c r="V29" s="10">
        <f>SUM(V16:V28)</f>
        <v/>
      </c>
      <c r="W29" s="10">
        <f>SUM(W16:W28)</f>
        <v/>
      </c>
      <c r="X29" s="10">
        <f>SUM(X16:X28)</f>
        <v/>
      </c>
      <c r="Y29" s="10">
        <f>SUM(Y16:Y28)</f>
        <v/>
      </c>
      <c r="Z29" s="10">
        <f>SUM(Z16:Z28)</f>
        <v/>
      </c>
      <c r="AA29" s="10">
        <f>SUM(AA16:AA28)</f>
        <v/>
      </c>
      <c r="AB29" s="10">
        <f>SUM(AB16:AB28)</f>
        <v/>
      </c>
      <c r="AC29" s="10">
        <f>SUM(AC16:AC28)</f>
        <v/>
      </c>
      <c r="AD29" s="10">
        <f>SUM(AD16:AD28)</f>
        <v/>
      </c>
      <c r="AE29" s="10">
        <f>SUM(AE16:AE28)</f>
        <v/>
      </c>
      <c r="AF29" s="10">
        <f>SUM(AF16:AF28)</f>
        <v/>
      </c>
      <c r="AG29" s="10">
        <f>SUM(AG16:AG28)</f>
        <v/>
      </c>
      <c r="AH29" s="10">
        <f>SUM(AH16:AH28)</f>
        <v/>
      </c>
      <c r="AI29" s="10">
        <f>SUM(AI16:AI28)</f>
        <v/>
      </c>
      <c r="AJ29" s="10">
        <f>SUM(AJ16:AJ28)</f>
        <v/>
      </c>
      <c r="AK29" s="10">
        <f>SUM(AK16:AK28)</f>
        <v/>
      </c>
      <c r="AL29" s="10">
        <f>SUM(AL16:AL28)</f>
        <v/>
      </c>
    </row>
    <row r="31">
      <c r="B31" s="15" t="inlineStr">
        <is>
          <t>DIRECT COSTS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</row>
    <row r="32">
      <c r="B32" s="2" t="inlineStr">
        <is>
          <t>Class coaching</t>
        </is>
      </c>
      <c r="C32" s="8">
        <f>C13*Assumptions!$F$20/12*Assumptions!$F$28</f>
        <v/>
      </c>
      <c r="D32" s="8">
        <f>D13*Assumptions!$F$20/12*Assumptions!$F$28</f>
        <v/>
      </c>
      <c r="E32" s="8">
        <f>E13*Assumptions!$F$20/12*Assumptions!$F$28</f>
        <v/>
      </c>
      <c r="F32" s="8">
        <f>F13*Assumptions!$F$20/12*Assumptions!$F$28</f>
        <v/>
      </c>
      <c r="G32" s="8">
        <f>G13*Assumptions!$F$20/12*Assumptions!$F$28</f>
        <v/>
      </c>
      <c r="H32" s="8">
        <f>H13*Assumptions!$F$20/12*Assumptions!$F$28</f>
        <v/>
      </c>
      <c r="I32" s="8">
        <f>I13*Assumptions!$F$20/12*Assumptions!$F$28</f>
        <v/>
      </c>
      <c r="J32" s="8">
        <f>J13*Assumptions!$F$20/12*Assumptions!$F$28</f>
        <v/>
      </c>
      <c r="K32" s="8">
        <f>K13*Assumptions!$F$20/12*Assumptions!$F$28</f>
        <v/>
      </c>
      <c r="L32" s="8">
        <f>L13*Assumptions!$F$20/12*Assumptions!$F$28</f>
        <v/>
      </c>
      <c r="M32" s="8">
        <f>M13*Assumptions!$F$20/12*Assumptions!$F$28</f>
        <v/>
      </c>
      <c r="N32" s="8">
        <f>N13*Assumptions!$F$20/12*Assumptions!$F$28</f>
        <v/>
      </c>
      <c r="O32" s="8">
        <f>O13*Assumptions!$F$20/12*Assumptions!$F$28</f>
        <v/>
      </c>
      <c r="P32" s="8">
        <f>P13*Assumptions!$F$20/12*Assumptions!$F$28</f>
        <v/>
      </c>
      <c r="Q32" s="8">
        <f>Q13*Assumptions!$F$20/12*Assumptions!$F$28</f>
        <v/>
      </c>
      <c r="R32" s="8">
        <f>R13*Assumptions!$F$20/12*Assumptions!$F$28</f>
        <v/>
      </c>
      <c r="S32" s="8">
        <f>S13*Assumptions!$F$20/12*Assumptions!$F$28</f>
        <v/>
      </c>
      <c r="T32" s="8">
        <f>T13*Assumptions!$F$20/12*Assumptions!$F$28</f>
        <v/>
      </c>
      <c r="U32" s="8">
        <f>U13*Assumptions!$F$20/12*Assumptions!$F$28</f>
        <v/>
      </c>
      <c r="V32" s="8">
        <f>V13*Assumptions!$F$20/12*Assumptions!$F$28</f>
        <v/>
      </c>
      <c r="W32" s="8">
        <f>W13*Assumptions!$F$20/12*Assumptions!$F$28</f>
        <v/>
      </c>
      <c r="X32" s="8">
        <f>X13*Assumptions!$F$20/12*Assumptions!$F$28</f>
        <v/>
      </c>
      <c r="Y32" s="8">
        <f>Y13*Assumptions!$F$20/12*Assumptions!$F$28</f>
        <v/>
      </c>
      <c r="Z32" s="8">
        <f>Z13*Assumptions!$F$20/12*Assumptions!$F$28</f>
        <v/>
      </c>
      <c r="AA32" s="8">
        <f>AA13*Assumptions!$F$20/12*Assumptions!$F$28</f>
        <v/>
      </c>
      <c r="AB32" s="8">
        <f>AB13*Assumptions!$F$20/12*Assumptions!$F$28</f>
        <v/>
      </c>
      <c r="AC32" s="8">
        <f>AC13*Assumptions!$F$20/12*Assumptions!$F$28</f>
        <v/>
      </c>
      <c r="AD32" s="8">
        <f>AD13*Assumptions!$F$20/12*Assumptions!$F$28</f>
        <v/>
      </c>
      <c r="AE32" s="8">
        <f>AE13*Assumptions!$F$20/12*Assumptions!$F$28</f>
        <v/>
      </c>
      <c r="AF32" s="8">
        <f>AF13*Assumptions!$F$20/12*Assumptions!$F$28</f>
        <v/>
      </c>
      <c r="AG32" s="8">
        <f>AG13*Assumptions!$F$20/12*Assumptions!$F$28</f>
        <v/>
      </c>
      <c r="AH32" s="8">
        <f>AH13*Assumptions!$F$20/12*Assumptions!$F$28</f>
        <v/>
      </c>
      <c r="AI32" s="8">
        <f>AI13*Assumptions!$F$20/12*Assumptions!$F$28</f>
        <v/>
      </c>
      <c r="AJ32" s="8">
        <f>AJ13*Assumptions!$F$20/12*Assumptions!$F$28</f>
        <v/>
      </c>
      <c r="AK32" s="8">
        <f>AK13*Assumptions!$F$20/12*Assumptions!$F$28</f>
        <v/>
      </c>
      <c r="AL32" s="8">
        <f>AL13*Assumptions!$F$20/12*Assumptions!$F$28</f>
        <v/>
      </c>
    </row>
    <row r="33">
      <c r="B33" s="2" t="inlineStr">
        <is>
          <t>Party staff and extras</t>
        </is>
      </c>
      <c r="C33" s="8">
        <f>CHOOSE(C$5,Assumptions!$F$32,Assumptions!$F$33,Assumptions!$F$34)*52/12*(Assumptions!$F$35*(Assumptions!$F$24+Assumptions!$F$25)*(1+Assumptions!$F$27)+Assumptions!$F$36)</f>
        <v/>
      </c>
      <c r="D33" s="8">
        <f>CHOOSE(D$5,Assumptions!$F$32,Assumptions!$F$33,Assumptions!$F$34)*52/12*(Assumptions!$F$35*(Assumptions!$F$24+Assumptions!$F$25)*(1+Assumptions!$F$27)+Assumptions!$F$36)</f>
        <v/>
      </c>
      <c r="E33" s="8">
        <f>CHOOSE(E$5,Assumptions!$F$32,Assumptions!$F$33,Assumptions!$F$34)*52/12*(Assumptions!$F$35*(Assumptions!$F$24+Assumptions!$F$25)*(1+Assumptions!$F$27)+Assumptions!$F$36)</f>
        <v/>
      </c>
      <c r="F33" s="8">
        <f>CHOOSE(F$5,Assumptions!$F$32,Assumptions!$F$33,Assumptions!$F$34)*52/12*(Assumptions!$F$35*(Assumptions!$F$24+Assumptions!$F$25)*(1+Assumptions!$F$27)+Assumptions!$F$36)</f>
        <v/>
      </c>
      <c r="G33" s="8">
        <f>CHOOSE(G$5,Assumptions!$F$32,Assumptions!$F$33,Assumptions!$F$34)*52/12*(Assumptions!$F$35*(Assumptions!$F$24+Assumptions!$F$25)*(1+Assumptions!$F$27)+Assumptions!$F$36)</f>
        <v/>
      </c>
      <c r="H33" s="8">
        <f>CHOOSE(H$5,Assumptions!$F$32,Assumptions!$F$33,Assumptions!$F$34)*52/12*(Assumptions!$F$35*(Assumptions!$F$24+Assumptions!$F$25)*(1+Assumptions!$F$27)+Assumptions!$F$36)</f>
        <v/>
      </c>
      <c r="I33" s="8">
        <f>CHOOSE(I$5,Assumptions!$F$32,Assumptions!$F$33,Assumptions!$F$34)*52/12*(Assumptions!$F$35*(Assumptions!$F$24+Assumptions!$F$25)*(1+Assumptions!$F$27)+Assumptions!$F$36)</f>
        <v/>
      </c>
      <c r="J33" s="8">
        <f>CHOOSE(J$5,Assumptions!$F$32,Assumptions!$F$33,Assumptions!$F$34)*52/12*(Assumptions!$F$35*(Assumptions!$F$24+Assumptions!$F$25)*(1+Assumptions!$F$27)+Assumptions!$F$36)</f>
        <v/>
      </c>
      <c r="K33" s="8">
        <f>CHOOSE(K$5,Assumptions!$F$32,Assumptions!$F$33,Assumptions!$F$34)*52/12*(Assumptions!$F$35*(Assumptions!$F$24+Assumptions!$F$25)*(1+Assumptions!$F$27)+Assumptions!$F$36)</f>
        <v/>
      </c>
      <c r="L33" s="8">
        <f>CHOOSE(L$5,Assumptions!$F$32,Assumptions!$F$33,Assumptions!$F$34)*52/12*(Assumptions!$F$35*(Assumptions!$F$24+Assumptions!$F$25)*(1+Assumptions!$F$27)+Assumptions!$F$36)</f>
        <v/>
      </c>
      <c r="M33" s="8">
        <f>CHOOSE(M$5,Assumptions!$F$32,Assumptions!$F$33,Assumptions!$F$34)*52/12*(Assumptions!$F$35*(Assumptions!$F$24+Assumptions!$F$25)*(1+Assumptions!$F$27)+Assumptions!$F$36)</f>
        <v/>
      </c>
      <c r="N33" s="8">
        <f>CHOOSE(N$5,Assumptions!$F$32,Assumptions!$F$33,Assumptions!$F$34)*52/12*(Assumptions!$F$35*(Assumptions!$F$24+Assumptions!$F$25)*(1+Assumptions!$F$27)+Assumptions!$F$36)</f>
        <v/>
      </c>
      <c r="O33" s="8">
        <f>CHOOSE(O$5,Assumptions!$F$32,Assumptions!$F$33,Assumptions!$F$34)*52/12*(Assumptions!$F$35*(Assumptions!$F$24+Assumptions!$F$25)*(1+Assumptions!$F$27)+Assumptions!$F$36)</f>
        <v/>
      </c>
      <c r="P33" s="8">
        <f>CHOOSE(P$5,Assumptions!$F$32,Assumptions!$F$33,Assumptions!$F$34)*52/12*(Assumptions!$F$35*(Assumptions!$F$24+Assumptions!$F$25)*(1+Assumptions!$F$27)+Assumptions!$F$36)</f>
        <v/>
      </c>
      <c r="Q33" s="8">
        <f>CHOOSE(Q$5,Assumptions!$F$32,Assumptions!$F$33,Assumptions!$F$34)*52/12*(Assumptions!$F$35*(Assumptions!$F$24+Assumptions!$F$25)*(1+Assumptions!$F$27)+Assumptions!$F$36)</f>
        <v/>
      </c>
      <c r="R33" s="8">
        <f>CHOOSE(R$5,Assumptions!$F$32,Assumptions!$F$33,Assumptions!$F$34)*52/12*(Assumptions!$F$35*(Assumptions!$F$24+Assumptions!$F$25)*(1+Assumptions!$F$27)+Assumptions!$F$36)</f>
        <v/>
      </c>
      <c r="S33" s="8">
        <f>CHOOSE(S$5,Assumptions!$F$32,Assumptions!$F$33,Assumptions!$F$34)*52/12*(Assumptions!$F$35*(Assumptions!$F$24+Assumptions!$F$25)*(1+Assumptions!$F$27)+Assumptions!$F$36)</f>
        <v/>
      </c>
      <c r="T33" s="8">
        <f>CHOOSE(T$5,Assumptions!$F$32,Assumptions!$F$33,Assumptions!$F$34)*52/12*(Assumptions!$F$35*(Assumptions!$F$24+Assumptions!$F$25)*(1+Assumptions!$F$27)+Assumptions!$F$36)</f>
        <v/>
      </c>
      <c r="U33" s="8">
        <f>CHOOSE(U$5,Assumptions!$F$32,Assumptions!$F$33,Assumptions!$F$34)*52/12*(Assumptions!$F$35*(Assumptions!$F$24+Assumptions!$F$25)*(1+Assumptions!$F$27)+Assumptions!$F$36)</f>
        <v/>
      </c>
      <c r="V33" s="8">
        <f>CHOOSE(V$5,Assumptions!$F$32,Assumptions!$F$33,Assumptions!$F$34)*52/12*(Assumptions!$F$35*(Assumptions!$F$24+Assumptions!$F$25)*(1+Assumptions!$F$27)+Assumptions!$F$36)</f>
        <v/>
      </c>
      <c r="W33" s="8">
        <f>CHOOSE(W$5,Assumptions!$F$32,Assumptions!$F$33,Assumptions!$F$34)*52/12*(Assumptions!$F$35*(Assumptions!$F$24+Assumptions!$F$25)*(1+Assumptions!$F$27)+Assumptions!$F$36)</f>
        <v/>
      </c>
      <c r="X33" s="8">
        <f>CHOOSE(X$5,Assumptions!$F$32,Assumptions!$F$33,Assumptions!$F$34)*52/12*(Assumptions!$F$35*(Assumptions!$F$24+Assumptions!$F$25)*(1+Assumptions!$F$27)+Assumptions!$F$36)</f>
        <v/>
      </c>
      <c r="Y33" s="8">
        <f>CHOOSE(Y$5,Assumptions!$F$32,Assumptions!$F$33,Assumptions!$F$34)*52/12*(Assumptions!$F$35*(Assumptions!$F$24+Assumptions!$F$25)*(1+Assumptions!$F$27)+Assumptions!$F$36)</f>
        <v/>
      </c>
      <c r="Z33" s="8">
        <f>CHOOSE(Z$5,Assumptions!$F$32,Assumptions!$F$33,Assumptions!$F$34)*52/12*(Assumptions!$F$35*(Assumptions!$F$24+Assumptions!$F$25)*(1+Assumptions!$F$27)+Assumptions!$F$36)</f>
        <v/>
      </c>
      <c r="AA33" s="8">
        <f>CHOOSE(AA$5,Assumptions!$F$32,Assumptions!$F$33,Assumptions!$F$34)*52/12*(Assumptions!$F$35*(Assumptions!$F$24+Assumptions!$F$25)*(1+Assumptions!$F$27)+Assumptions!$F$36)</f>
        <v/>
      </c>
      <c r="AB33" s="8">
        <f>CHOOSE(AB$5,Assumptions!$F$32,Assumptions!$F$33,Assumptions!$F$34)*52/12*(Assumptions!$F$35*(Assumptions!$F$24+Assumptions!$F$25)*(1+Assumptions!$F$27)+Assumptions!$F$36)</f>
        <v/>
      </c>
      <c r="AC33" s="8">
        <f>CHOOSE(AC$5,Assumptions!$F$32,Assumptions!$F$33,Assumptions!$F$34)*52/12*(Assumptions!$F$35*(Assumptions!$F$24+Assumptions!$F$25)*(1+Assumptions!$F$27)+Assumptions!$F$36)</f>
        <v/>
      </c>
      <c r="AD33" s="8">
        <f>CHOOSE(AD$5,Assumptions!$F$32,Assumptions!$F$33,Assumptions!$F$34)*52/12*(Assumptions!$F$35*(Assumptions!$F$24+Assumptions!$F$25)*(1+Assumptions!$F$27)+Assumptions!$F$36)</f>
        <v/>
      </c>
      <c r="AE33" s="8">
        <f>CHOOSE(AE$5,Assumptions!$F$32,Assumptions!$F$33,Assumptions!$F$34)*52/12*(Assumptions!$F$35*(Assumptions!$F$24+Assumptions!$F$25)*(1+Assumptions!$F$27)+Assumptions!$F$36)</f>
        <v/>
      </c>
      <c r="AF33" s="8">
        <f>CHOOSE(AF$5,Assumptions!$F$32,Assumptions!$F$33,Assumptions!$F$34)*52/12*(Assumptions!$F$35*(Assumptions!$F$24+Assumptions!$F$25)*(1+Assumptions!$F$27)+Assumptions!$F$36)</f>
        <v/>
      </c>
      <c r="AG33" s="8">
        <f>CHOOSE(AG$5,Assumptions!$F$32,Assumptions!$F$33,Assumptions!$F$34)*52/12*(Assumptions!$F$35*(Assumptions!$F$24+Assumptions!$F$25)*(1+Assumptions!$F$27)+Assumptions!$F$36)</f>
        <v/>
      </c>
      <c r="AH33" s="8">
        <f>CHOOSE(AH$5,Assumptions!$F$32,Assumptions!$F$33,Assumptions!$F$34)*52/12*(Assumptions!$F$35*(Assumptions!$F$24+Assumptions!$F$25)*(1+Assumptions!$F$27)+Assumptions!$F$36)</f>
        <v/>
      </c>
      <c r="AI33" s="8">
        <f>CHOOSE(AI$5,Assumptions!$F$32,Assumptions!$F$33,Assumptions!$F$34)*52/12*(Assumptions!$F$35*(Assumptions!$F$24+Assumptions!$F$25)*(1+Assumptions!$F$27)+Assumptions!$F$36)</f>
        <v/>
      </c>
      <c r="AJ33" s="8">
        <f>CHOOSE(AJ$5,Assumptions!$F$32,Assumptions!$F$33,Assumptions!$F$34)*52/12*(Assumptions!$F$35*(Assumptions!$F$24+Assumptions!$F$25)*(1+Assumptions!$F$27)+Assumptions!$F$36)</f>
        <v/>
      </c>
      <c r="AK33" s="8">
        <f>CHOOSE(AK$5,Assumptions!$F$32,Assumptions!$F$33,Assumptions!$F$34)*52/12*(Assumptions!$F$35*(Assumptions!$F$24+Assumptions!$F$25)*(1+Assumptions!$F$27)+Assumptions!$F$36)</f>
        <v/>
      </c>
      <c r="AL33" s="8">
        <f>CHOOSE(AL$5,Assumptions!$F$32,Assumptions!$F$33,Assumptions!$F$34)*52/12*(Assumptions!$F$35*(Assumptions!$F$24+Assumptions!$F$25)*(1+Assumptions!$F$27)+Assumptions!$F$36)</f>
        <v/>
      </c>
    </row>
    <row r="34">
      <c r="B34" s="2" t="inlineStr">
        <is>
          <t>Tournament staff and medals</t>
        </is>
      </c>
      <c r="C34" s="8">
        <f>CHOOSE(C$5,Assumptions!$F$39,Assumptions!$F$40,Assumptions!$F$41)/12*(Assumptions!$F$44*Assumptions!$F$56+Assumptions!$F$42*Assumptions!$F$45)</f>
        <v/>
      </c>
      <c r="D34" s="8">
        <f>CHOOSE(D$5,Assumptions!$F$39,Assumptions!$F$40,Assumptions!$F$41)/12*(Assumptions!$F$44*Assumptions!$F$56+Assumptions!$F$42*Assumptions!$F$45)</f>
        <v/>
      </c>
      <c r="E34" s="8">
        <f>CHOOSE(E$5,Assumptions!$F$39,Assumptions!$F$40,Assumptions!$F$41)/12*(Assumptions!$F$44*Assumptions!$F$56+Assumptions!$F$42*Assumptions!$F$45)</f>
        <v/>
      </c>
      <c r="F34" s="8">
        <f>CHOOSE(F$5,Assumptions!$F$39,Assumptions!$F$40,Assumptions!$F$41)/12*(Assumptions!$F$44*Assumptions!$F$56+Assumptions!$F$42*Assumptions!$F$45)</f>
        <v/>
      </c>
      <c r="G34" s="8">
        <f>CHOOSE(G$5,Assumptions!$F$39,Assumptions!$F$40,Assumptions!$F$41)/12*(Assumptions!$F$44*Assumptions!$F$56+Assumptions!$F$42*Assumptions!$F$45)</f>
        <v/>
      </c>
      <c r="H34" s="8">
        <f>CHOOSE(H$5,Assumptions!$F$39,Assumptions!$F$40,Assumptions!$F$41)/12*(Assumptions!$F$44*Assumptions!$F$56+Assumptions!$F$42*Assumptions!$F$45)</f>
        <v/>
      </c>
      <c r="I34" s="8">
        <f>CHOOSE(I$5,Assumptions!$F$39,Assumptions!$F$40,Assumptions!$F$41)/12*(Assumptions!$F$44*Assumptions!$F$56+Assumptions!$F$42*Assumptions!$F$45)</f>
        <v/>
      </c>
      <c r="J34" s="8">
        <f>CHOOSE(J$5,Assumptions!$F$39,Assumptions!$F$40,Assumptions!$F$41)/12*(Assumptions!$F$44*Assumptions!$F$56+Assumptions!$F$42*Assumptions!$F$45)</f>
        <v/>
      </c>
      <c r="K34" s="8">
        <f>CHOOSE(K$5,Assumptions!$F$39,Assumptions!$F$40,Assumptions!$F$41)/12*(Assumptions!$F$44*Assumptions!$F$56+Assumptions!$F$42*Assumptions!$F$45)</f>
        <v/>
      </c>
      <c r="L34" s="8">
        <f>CHOOSE(L$5,Assumptions!$F$39,Assumptions!$F$40,Assumptions!$F$41)/12*(Assumptions!$F$44*Assumptions!$F$56+Assumptions!$F$42*Assumptions!$F$45)</f>
        <v/>
      </c>
      <c r="M34" s="8">
        <f>CHOOSE(M$5,Assumptions!$F$39,Assumptions!$F$40,Assumptions!$F$41)/12*(Assumptions!$F$44*Assumptions!$F$56+Assumptions!$F$42*Assumptions!$F$45)</f>
        <v/>
      </c>
      <c r="N34" s="8">
        <f>CHOOSE(N$5,Assumptions!$F$39,Assumptions!$F$40,Assumptions!$F$41)/12*(Assumptions!$F$44*Assumptions!$F$56+Assumptions!$F$42*Assumptions!$F$45)</f>
        <v/>
      </c>
      <c r="O34" s="8">
        <f>CHOOSE(O$5,Assumptions!$F$39,Assumptions!$F$40,Assumptions!$F$41)/12*(Assumptions!$F$44*Assumptions!$F$56+Assumptions!$F$42*Assumptions!$F$45)</f>
        <v/>
      </c>
      <c r="P34" s="8">
        <f>CHOOSE(P$5,Assumptions!$F$39,Assumptions!$F$40,Assumptions!$F$41)/12*(Assumptions!$F$44*Assumptions!$F$56+Assumptions!$F$42*Assumptions!$F$45)</f>
        <v/>
      </c>
      <c r="Q34" s="8">
        <f>CHOOSE(Q$5,Assumptions!$F$39,Assumptions!$F$40,Assumptions!$F$41)/12*(Assumptions!$F$44*Assumptions!$F$56+Assumptions!$F$42*Assumptions!$F$45)</f>
        <v/>
      </c>
      <c r="R34" s="8">
        <f>CHOOSE(R$5,Assumptions!$F$39,Assumptions!$F$40,Assumptions!$F$41)/12*(Assumptions!$F$44*Assumptions!$F$56+Assumptions!$F$42*Assumptions!$F$45)</f>
        <v/>
      </c>
      <c r="S34" s="8">
        <f>CHOOSE(S$5,Assumptions!$F$39,Assumptions!$F$40,Assumptions!$F$41)/12*(Assumptions!$F$44*Assumptions!$F$56+Assumptions!$F$42*Assumptions!$F$45)</f>
        <v/>
      </c>
      <c r="T34" s="8">
        <f>CHOOSE(T$5,Assumptions!$F$39,Assumptions!$F$40,Assumptions!$F$41)/12*(Assumptions!$F$44*Assumptions!$F$56+Assumptions!$F$42*Assumptions!$F$45)</f>
        <v/>
      </c>
      <c r="U34" s="8">
        <f>CHOOSE(U$5,Assumptions!$F$39,Assumptions!$F$40,Assumptions!$F$41)/12*(Assumptions!$F$44*Assumptions!$F$56+Assumptions!$F$42*Assumptions!$F$45)</f>
        <v/>
      </c>
      <c r="V34" s="8">
        <f>CHOOSE(V$5,Assumptions!$F$39,Assumptions!$F$40,Assumptions!$F$41)/12*(Assumptions!$F$44*Assumptions!$F$56+Assumptions!$F$42*Assumptions!$F$45)</f>
        <v/>
      </c>
      <c r="W34" s="8">
        <f>CHOOSE(W$5,Assumptions!$F$39,Assumptions!$F$40,Assumptions!$F$41)/12*(Assumptions!$F$44*Assumptions!$F$56+Assumptions!$F$42*Assumptions!$F$45)</f>
        <v/>
      </c>
      <c r="X34" s="8">
        <f>CHOOSE(X$5,Assumptions!$F$39,Assumptions!$F$40,Assumptions!$F$41)/12*(Assumptions!$F$44*Assumptions!$F$56+Assumptions!$F$42*Assumptions!$F$45)</f>
        <v/>
      </c>
      <c r="Y34" s="8">
        <f>CHOOSE(Y$5,Assumptions!$F$39,Assumptions!$F$40,Assumptions!$F$41)/12*(Assumptions!$F$44*Assumptions!$F$56+Assumptions!$F$42*Assumptions!$F$45)</f>
        <v/>
      </c>
      <c r="Z34" s="8">
        <f>CHOOSE(Z$5,Assumptions!$F$39,Assumptions!$F$40,Assumptions!$F$41)/12*(Assumptions!$F$44*Assumptions!$F$56+Assumptions!$F$42*Assumptions!$F$45)</f>
        <v/>
      </c>
      <c r="AA34" s="8">
        <f>CHOOSE(AA$5,Assumptions!$F$39,Assumptions!$F$40,Assumptions!$F$41)/12*(Assumptions!$F$44*Assumptions!$F$56+Assumptions!$F$42*Assumptions!$F$45)</f>
        <v/>
      </c>
      <c r="AB34" s="8">
        <f>CHOOSE(AB$5,Assumptions!$F$39,Assumptions!$F$40,Assumptions!$F$41)/12*(Assumptions!$F$44*Assumptions!$F$56+Assumptions!$F$42*Assumptions!$F$45)</f>
        <v/>
      </c>
      <c r="AC34" s="8">
        <f>CHOOSE(AC$5,Assumptions!$F$39,Assumptions!$F$40,Assumptions!$F$41)/12*(Assumptions!$F$44*Assumptions!$F$56+Assumptions!$F$42*Assumptions!$F$45)</f>
        <v/>
      </c>
      <c r="AD34" s="8">
        <f>CHOOSE(AD$5,Assumptions!$F$39,Assumptions!$F$40,Assumptions!$F$41)/12*(Assumptions!$F$44*Assumptions!$F$56+Assumptions!$F$42*Assumptions!$F$45)</f>
        <v/>
      </c>
      <c r="AE34" s="8">
        <f>CHOOSE(AE$5,Assumptions!$F$39,Assumptions!$F$40,Assumptions!$F$41)/12*(Assumptions!$F$44*Assumptions!$F$56+Assumptions!$F$42*Assumptions!$F$45)</f>
        <v/>
      </c>
      <c r="AF34" s="8">
        <f>CHOOSE(AF$5,Assumptions!$F$39,Assumptions!$F$40,Assumptions!$F$41)/12*(Assumptions!$F$44*Assumptions!$F$56+Assumptions!$F$42*Assumptions!$F$45)</f>
        <v/>
      </c>
      <c r="AG34" s="8">
        <f>CHOOSE(AG$5,Assumptions!$F$39,Assumptions!$F$40,Assumptions!$F$41)/12*(Assumptions!$F$44*Assumptions!$F$56+Assumptions!$F$42*Assumptions!$F$45)</f>
        <v/>
      </c>
      <c r="AH34" s="8">
        <f>CHOOSE(AH$5,Assumptions!$F$39,Assumptions!$F$40,Assumptions!$F$41)/12*(Assumptions!$F$44*Assumptions!$F$56+Assumptions!$F$42*Assumptions!$F$45)</f>
        <v/>
      </c>
      <c r="AI34" s="8">
        <f>CHOOSE(AI$5,Assumptions!$F$39,Assumptions!$F$40,Assumptions!$F$41)/12*(Assumptions!$F$44*Assumptions!$F$56+Assumptions!$F$42*Assumptions!$F$45)</f>
        <v/>
      </c>
      <c r="AJ34" s="8">
        <f>CHOOSE(AJ$5,Assumptions!$F$39,Assumptions!$F$40,Assumptions!$F$41)/12*(Assumptions!$F$44*Assumptions!$F$56+Assumptions!$F$42*Assumptions!$F$45)</f>
        <v/>
      </c>
      <c r="AK34" s="8">
        <f>CHOOSE(AK$5,Assumptions!$F$39,Assumptions!$F$40,Assumptions!$F$41)/12*(Assumptions!$F$44*Assumptions!$F$56+Assumptions!$F$42*Assumptions!$F$45)</f>
        <v/>
      </c>
      <c r="AL34" s="8">
        <f>CHOOSE(AL$5,Assumptions!$F$39,Assumptions!$F$40,Assumptions!$F$41)/12*(Assumptions!$F$44*Assumptions!$F$56+Assumptions!$F$42*Assumptions!$F$45)</f>
        <v/>
      </c>
    </row>
    <row r="35">
      <c r="B35" s="2" t="inlineStr">
        <is>
          <t>Camp staff</t>
        </is>
      </c>
      <c r="C35" s="8">
        <f>INDEX(Assumptions!$C$106:$C$117,C$6)*5*CHOOSE(C$5,Assumptions!$F$48,Assumptions!$F$49,Assumptions!$F$50)*ROUNDUP(CHOOSE(C$5,Assumptions!$F$51,Assumptions!$F$52,Assumptions!$F$53)/Assumptions!$F$54,0)*Assumptions!$F$55*Assumptions!$F$56</f>
        <v/>
      </c>
      <c r="D35" s="8">
        <f>INDEX(Assumptions!$C$106:$C$117,D$6)*5*CHOOSE(D$5,Assumptions!$F$48,Assumptions!$F$49,Assumptions!$F$50)*ROUNDUP(CHOOSE(D$5,Assumptions!$F$51,Assumptions!$F$52,Assumptions!$F$53)/Assumptions!$F$54,0)*Assumptions!$F$55*Assumptions!$F$56</f>
        <v/>
      </c>
      <c r="E35" s="8">
        <f>INDEX(Assumptions!$C$106:$C$117,E$6)*5*CHOOSE(E$5,Assumptions!$F$48,Assumptions!$F$49,Assumptions!$F$50)*ROUNDUP(CHOOSE(E$5,Assumptions!$F$51,Assumptions!$F$52,Assumptions!$F$53)/Assumptions!$F$54,0)*Assumptions!$F$55*Assumptions!$F$56</f>
        <v/>
      </c>
      <c r="F35" s="8">
        <f>INDEX(Assumptions!$C$106:$C$117,F$6)*5*CHOOSE(F$5,Assumptions!$F$48,Assumptions!$F$49,Assumptions!$F$50)*ROUNDUP(CHOOSE(F$5,Assumptions!$F$51,Assumptions!$F$52,Assumptions!$F$53)/Assumptions!$F$54,0)*Assumptions!$F$55*Assumptions!$F$56</f>
        <v/>
      </c>
      <c r="G35" s="8">
        <f>INDEX(Assumptions!$C$106:$C$117,G$6)*5*CHOOSE(G$5,Assumptions!$F$48,Assumptions!$F$49,Assumptions!$F$50)*ROUNDUP(CHOOSE(G$5,Assumptions!$F$51,Assumptions!$F$52,Assumptions!$F$53)/Assumptions!$F$54,0)*Assumptions!$F$55*Assumptions!$F$56</f>
        <v/>
      </c>
      <c r="H35" s="8">
        <f>INDEX(Assumptions!$C$106:$C$117,H$6)*5*CHOOSE(H$5,Assumptions!$F$48,Assumptions!$F$49,Assumptions!$F$50)*ROUNDUP(CHOOSE(H$5,Assumptions!$F$51,Assumptions!$F$52,Assumptions!$F$53)/Assumptions!$F$54,0)*Assumptions!$F$55*Assumptions!$F$56</f>
        <v/>
      </c>
      <c r="I35" s="8">
        <f>INDEX(Assumptions!$C$106:$C$117,I$6)*5*CHOOSE(I$5,Assumptions!$F$48,Assumptions!$F$49,Assumptions!$F$50)*ROUNDUP(CHOOSE(I$5,Assumptions!$F$51,Assumptions!$F$52,Assumptions!$F$53)/Assumptions!$F$54,0)*Assumptions!$F$55*Assumptions!$F$56</f>
        <v/>
      </c>
      <c r="J35" s="8">
        <f>INDEX(Assumptions!$C$106:$C$117,J$6)*5*CHOOSE(J$5,Assumptions!$F$48,Assumptions!$F$49,Assumptions!$F$50)*ROUNDUP(CHOOSE(J$5,Assumptions!$F$51,Assumptions!$F$52,Assumptions!$F$53)/Assumptions!$F$54,0)*Assumptions!$F$55*Assumptions!$F$56</f>
        <v/>
      </c>
      <c r="K35" s="8">
        <f>INDEX(Assumptions!$C$106:$C$117,K$6)*5*CHOOSE(K$5,Assumptions!$F$48,Assumptions!$F$49,Assumptions!$F$50)*ROUNDUP(CHOOSE(K$5,Assumptions!$F$51,Assumptions!$F$52,Assumptions!$F$53)/Assumptions!$F$54,0)*Assumptions!$F$55*Assumptions!$F$56</f>
        <v/>
      </c>
      <c r="L35" s="8">
        <f>INDEX(Assumptions!$C$106:$C$117,L$6)*5*CHOOSE(L$5,Assumptions!$F$48,Assumptions!$F$49,Assumptions!$F$50)*ROUNDUP(CHOOSE(L$5,Assumptions!$F$51,Assumptions!$F$52,Assumptions!$F$53)/Assumptions!$F$54,0)*Assumptions!$F$55*Assumptions!$F$56</f>
        <v/>
      </c>
      <c r="M35" s="8">
        <f>INDEX(Assumptions!$C$106:$C$117,M$6)*5*CHOOSE(M$5,Assumptions!$F$48,Assumptions!$F$49,Assumptions!$F$50)*ROUNDUP(CHOOSE(M$5,Assumptions!$F$51,Assumptions!$F$52,Assumptions!$F$53)/Assumptions!$F$54,0)*Assumptions!$F$55*Assumptions!$F$56</f>
        <v/>
      </c>
      <c r="N35" s="8">
        <f>INDEX(Assumptions!$C$106:$C$117,N$6)*5*CHOOSE(N$5,Assumptions!$F$48,Assumptions!$F$49,Assumptions!$F$50)*ROUNDUP(CHOOSE(N$5,Assumptions!$F$51,Assumptions!$F$52,Assumptions!$F$53)/Assumptions!$F$54,0)*Assumptions!$F$55*Assumptions!$F$56</f>
        <v/>
      </c>
      <c r="O35" s="8">
        <f>INDEX(Assumptions!$C$106:$C$117,O$6)*5*CHOOSE(O$5,Assumptions!$F$48,Assumptions!$F$49,Assumptions!$F$50)*ROUNDUP(CHOOSE(O$5,Assumptions!$F$51,Assumptions!$F$52,Assumptions!$F$53)/Assumptions!$F$54,0)*Assumptions!$F$55*Assumptions!$F$56</f>
        <v/>
      </c>
      <c r="P35" s="8">
        <f>INDEX(Assumptions!$C$106:$C$117,P$6)*5*CHOOSE(P$5,Assumptions!$F$48,Assumptions!$F$49,Assumptions!$F$50)*ROUNDUP(CHOOSE(P$5,Assumptions!$F$51,Assumptions!$F$52,Assumptions!$F$53)/Assumptions!$F$54,0)*Assumptions!$F$55*Assumptions!$F$56</f>
        <v/>
      </c>
      <c r="Q35" s="8">
        <f>INDEX(Assumptions!$C$106:$C$117,Q$6)*5*CHOOSE(Q$5,Assumptions!$F$48,Assumptions!$F$49,Assumptions!$F$50)*ROUNDUP(CHOOSE(Q$5,Assumptions!$F$51,Assumptions!$F$52,Assumptions!$F$53)/Assumptions!$F$54,0)*Assumptions!$F$55*Assumptions!$F$56</f>
        <v/>
      </c>
      <c r="R35" s="8">
        <f>INDEX(Assumptions!$C$106:$C$117,R$6)*5*CHOOSE(R$5,Assumptions!$F$48,Assumptions!$F$49,Assumptions!$F$50)*ROUNDUP(CHOOSE(R$5,Assumptions!$F$51,Assumptions!$F$52,Assumptions!$F$53)/Assumptions!$F$54,0)*Assumptions!$F$55*Assumptions!$F$56</f>
        <v/>
      </c>
      <c r="S35" s="8">
        <f>INDEX(Assumptions!$C$106:$C$117,S$6)*5*CHOOSE(S$5,Assumptions!$F$48,Assumptions!$F$49,Assumptions!$F$50)*ROUNDUP(CHOOSE(S$5,Assumptions!$F$51,Assumptions!$F$52,Assumptions!$F$53)/Assumptions!$F$54,0)*Assumptions!$F$55*Assumptions!$F$56</f>
        <v/>
      </c>
      <c r="T35" s="8">
        <f>INDEX(Assumptions!$C$106:$C$117,T$6)*5*CHOOSE(T$5,Assumptions!$F$48,Assumptions!$F$49,Assumptions!$F$50)*ROUNDUP(CHOOSE(T$5,Assumptions!$F$51,Assumptions!$F$52,Assumptions!$F$53)/Assumptions!$F$54,0)*Assumptions!$F$55*Assumptions!$F$56</f>
        <v/>
      </c>
      <c r="U35" s="8">
        <f>INDEX(Assumptions!$C$106:$C$117,U$6)*5*CHOOSE(U$5,Assumptions!$F$48,Assumptions!$F$49,Assumptions!$F$50)*ROUNDUP(CHOOSE(U$5,Assumptions!$F$51,Assumptions!$F$52,Assumptions!$F$53)/Assumptions!$F$54,0)*Assumptions!$F$55*Assumptions!$F$56</f>
        <v/>
      </c>
      <c r="V35" s="8">
        <f>INDEX(Assumptions!$C$106:$C$117,V$6)*5*CHOOSE(V$5,Assumptions!$F$48,Assumptions!$F$49,Assumptions!$F$50)*ROUNDUP(CHOOSE(V$5,Assumptions!$F$51,Assumptions!$F$52,Assumptions!$F$53)/Assumptions!$F$54,0)*Assumptions!$F$55*Assumptions!$F$56</f>
        <v/>
      </c>
      <c r="W35" s="8">
        <f>INDEX(Assumptions!$C$106:$C$117,W$6)*5*CHOOSE(W$5,Assumptions!$F$48,Assumptions!$F$49,Assumptions!$F$50)*ROUNDUP(CHOOSE(W$5,Assumptions!$F$51,Assumptions!$F$52,Assumptions!$F$53)/Assumptions!$F$54,0)*Assumptions!$F$55*Assumptions!$F$56</f>
        <v/>
      </c>
      <c r="X35" s="8">
        <f>INDEX(Assumptions!$C$106:$C$117,X$6)*5*CHOOSE(X$5,Assumptions!$F$48,Assumptions!$F$49,Assumptions!$F$50)*ROUNDUP(CHOOSE(X$5,Assumptions!$F$51,Assumptions!$F$52,Assumptions!$F$53)/Assumptions!$F$54,0)*Assumptions!$F$55*Assumptions!$F$56</f>
        <v/>
      </c>
      <c r="Y35" s="8">
        <f>INDEX(Assumptions!$C$106:$C$117,Y$6)*5*CHOOSE(Y$5,Assumptions!$F$48,Assumptions!$F$49,Assumptions!$F$50)*ROUNDUP(CHOOSE(Y$5,Assumptions!$F$51,Assumptions!$F$52,Assumptions!$F$53)/Assumptions!$F$54,0)*Assumptions!$F$55*Assumptions!$F$56</f>
        <v/>
      </c>
      <c r="Z35" s="8">
        <f>INDEX(Assumptions!$C$106:$C$117,Z$6)*5*CHOOSE(Z$5,Assumptions!$F$48,Assumptions!$F$49,Assumptions!$F$50)*ROUNDUP(CHOOSE(Z$5,Assumptions!$F$51,Assumptions!$F$52,Assumptions!$F$53)/Assumptions!$F$54,0)*Assumptions!$F$55*Assumptions!$F$56</f>
        <v/>
      </c>
      <c r="AA35" s="8">
        <f>INDEX(Assumptions!$C$106:$C$117,AA$6)*5*CHOOSE(AA$5,Assumptions!$F$48,Assumptions!$F$49,Assumptions!$F$50)*ROUNDUP(CHOOSE(AA$5,Assumptions!$F$51,Assumptions!$F$52,Assumptions!$F$53)/Assumptions!$F$54,0)*Assumptions!$F$55*Assumptions!$F$56</f>
        <v/>
      </c>
      <c r="AB35" s="8">
        <f>INDEX(Assumptions!$C$106:$C$117,AB$6)*5*CHOOSE(AB$5,Assumptions!$F$48,Assumptions!$F$49,Assumptions!$F$50)*ROUNDUP(CHOOSE(AB$5,Assumptions!$F$51,Assumptions!$F$52,Assumptions!$F$53)/Assumptions!$F$54,0)*Assumptions!$F$55*Assumptions!$F$56</f>
        <v/>
      </c>
      <c r="AC35" s="8">
        <f>INDEX(Assumptions!$C$106:$C$117,AC$6)*5*CHOOSE(AC$5,Assumptions!$F$48,Assumptions!$F$49,Assumptions!$F$50)*ROUNDUP(CHOOSE(AC$5,Assumptions!$F$51,Assumptions!$F$52,Assumptions!$F$53)/Assumptions!$F$54,0)*Assumptions!$F$55*Assumptions!$F$56</f>
        <v/>
      </c>
      <c r="AD35" s="8">
        <f>INDEX(Assumptions!$C$106:$C$117,AD$6)*5*CHOOSE(AD$5,Assumptions!$F$48,Assumptions!$F$49,Assumptions!$F$50)*ROUNDUP(CHOOSE(AD$5,Assumptions!$F$51,Assumptions!$F$52,Assumptions!$F$53)/Assumptions!$F$54,0)*Assumptions!$F$55*Assumptions!$F$56</f>
        <v/>
      </c>
      <c r="AE35" s="8">
        <f>INDEX(Assumptions!$C$106:$C$117,AE$6)*5*CHOOSE(AE$5,Assumptions!$F$48,Assumptions!$F$49,Assumptions!$F$50)*ROUNDUP(CHOOSE(AE$5,Assumptions!$F$51,Assumptions!$F$52,Assumptions!$F$53)/Assumptions!$F$54,0)*Assumptions!$F$55*Assumptions!$F$56</f>
        <v/>
      </c>
      <c r="AF35" s="8">
        <f>INDEX(Assumptions!$C$106:$C$117,AF$6)*5*CHOOSE(AF$5,Assumptions!$F$48,Assumptions!$F$49,Assumptions!$F$50)*ROUNDUP(CHOOSE(AF$5,Assumptions!$F$51,Assumptions!$F$52,Assumptions!$F$53)/Assumptions!$F$54,0)*Assumptions!$F$55*Assumptions!$F$56</f>
        <v/>
      </c>
      <c r="AG35" s="8">
        <f>INDEX(Assumptions!$C$106:$C$117,AG$6)*5*CHOOSE(AG$5,Assumptions!$F$48,Assumptions!$F$49,Assumptions!$F$50)*ROUNDUP(CHOOSE(AG$5,Assumptions!$F$51,Assumptions!$F$52,Assumptions!$F$53)/Assumptions!$F$54,0)*Assumptions!$F$55*Assumptions!$F$56</f>
        <v/>
      </c>
      <c r="AH35" s="8">
        <f>INDEX(Assumptions!$C$106:$C$117,AH$6)*5*CHOOSE(AH$5,Assumptions!$F$48,Assumptions!$F$49,Assumptions!$F$50)*ROUNDUP(CHOOSE(AH$5,Assumptions!$F$51,Assumptions!$F$52,Assumptions!$F$53)/Assumptions!$F$54,0)*Assumptions!$F$55*Assumptions!$F$56</f>
        <v/>
      </c>
      <c r="AI35" s="8">
        <f>INDEX(Assumptions!$C$106:$C$117,AI$6)*5*CHOOSE(AI$5,Assumptions!$F$48,Assumptions!$F$49,Assumptions!$F$50)*ROUNDUP(CHOOSE(AI$5,Assumptions!$F$51,Assumptions!$F$52,Assumptions!$F$53)/Assumptions!$F$54,0)*Assumptions!$F$55*Assumptions!$F$56</f>
        <v/>
      </c>
      <c r="AJ35" s="8">
        <f>INDEX(Assumptions!$C$106:$C$117,AJ$6)*5*CHOOSE(AJ$5,Assumptions!$F$48,Assumptions!$F$49,Assumptions!$F$50)*ROUNDUP(CHOOSE(AJ$5,Assumptions!$F$51,Assumptions!$F$52,Assumptions!$F$53)/Assumptions!$F$54,0)*Assumptions!$F$55*Assumptions!$F$56</f>
        <v/>
      </c>
      <c r="AK35" s="8">
        <f>INDEX(Assumptions!$C$106:$C$117,AK$6)*5*CHOOSE(AK$5,Assumptions!$F$48,Assumptions!$F$49,Assumptions!$F$50)*ROUNDUP(CHOOSE(AK$5,Assumptions!$F$51,Assumptions!$F$52,Assumptions!$F$53)/Assumptions!$F$54,0)*Assumptions!$F$55*Assumptions!$F$56</f>
        <v/>
      </c>
      <c r="AL35" s="8">
        <f>INDEX(Assumptions!$C$106:$C$117,AL$6)*5*CHOOSE(AL$5,Assumptions!$F$48,Assumptions!$F$49,Assumptions!$F$50)*ROUNDUP(CHOOSE(AL$5,Assumptions!$F$51,Assumptions!$F$52,Assumptions!$F$53)/Assumptions!$F$54,0)*Assumptions!$F$55*Assumptions!$F$56</f>
        <v/>
      </c>
    </row>
    <row r="36">
      <c r="B36" s="2" t="inlineStr">
        <is>
          <t>Funded places: food and extra staff</t>
        </is>
      </c>
      <c r="C36" s="8">
        <f>INDEX(Assumptions!$D$106:$D$117,C$6)*Assumptions!$F$62*CHOOSE(C$5,Assumptions!$F$58,Assumptions!$F$59,Assumptions!$F$60)*Assumptions!$F$63</f>
        <v/>
      </c>
      <c r="D36" s="8">
        <f>INDEX(Assumptions!$D$106:$D$117,D$6)*Assumptions!$F$62*CHOOSE(D$5,Assumptions!$F$58,Assumptions!$F$59,Assumptions!$F$60)*Assumptions!$F$63</f>
        <v/>
      </c>
      <c r="E36" s="8">
        <f>INDEX(Assumptions!$D$106:$D$117,E$6)*Assumptions!$F$62*CHOOSE(E$5,Assumptions!$F$58,Assumptions!$F$59,Assumptions!$F$60)*Assumptions!$F$63</f>
        <v/>
      </c>
      <c r="F36" s="8">
        <f>INDEX(Assumptions!$D$106:$D$117,F$6)*Assumptions!$F$62*CHOOSE(F$5,Assumptions!$F$58,Assumptions!$F$59,Assumptions!$F$60)*Assumptions!$F$63</f>
        <v/>
      </c>
      <c r="G36" s="8">
        <f>INDEX(Assumptions!$D$106:$D$117,G$6)*Assumptions!$F$62*CHOOSE(G$5,Assumptions!$F$58,Assumptions!$F$59,Assumptions!$F$60)*Assumptions!$F$63</f>
        <v/>
      </c>
      <c r="H36" s="8">
        <f>INDEX(Assumptions!$D$106:$D$117,H$6)*Assumptions!$F$62*CHOOSE(H$5,Assumptions!$F$58,Assumptions!$F$59,Assumptions!$F$60)*Assumptions!$F$63</f>
        <v/>
      </c>
      <c r="I36" s="8">
        <f>INDEX(Assumptions!$D$106:$D$117,I$6)*Assumptions!$F$62*CHOOSE(I$5,Assumptions!$F$58,Assumptions!$F$59,Assumptions!$F$60)*Assumptions!$F$63</f>
        <v/>
      </c>
      <c r="J36" s="8">
        <f>INDEX(Assumptions!$D$106:$D$117,J$6)*Assumptions!$F$62*CHOOSE(J$5,Assumptions!$F$58,Assumptions!$F$59,Assumptions!$F$60)*Assumptions!$F$63</f>
        <v/>
      </c>
      <c r="K36" s="8">
        <f>INDEX(Assumptions!$D$106:$D$117,K$6)*Assumptions!$F$62*CHOOSE(K$5,Assumptions!$F$58,Assumptions!$F$59,Assumptions!$F$60)*Assumptions!$F$63</f>
        <v/>
      </c>
      <c r="L36" s="8">
        <f>INDEX(Assumptions!$D$106:$D$117,L$6)*Assumptions!$F$62*CHOOSE(L$5,Assumptions!$F$58,Assumptions!$F$59,Assumptions!$F$60)*Assumptions!$F$63</f>
        <v/>
      </c>
      <c r="M36" s="8">
        <f>INDEX(Assumptions!$D$106:$D$117,M$6)*Assumptions!$F$62*CHOOSE(M$5,Assumptions!$F$58,Assumptions!$F$59,Assumptions!$F$60)*Assumptions!$F$63</f>
        <v/>
      </c>
      <c r="N36" s="8">
        <f>INDEX(Assumptions!$D$106:$D$117,N$6)*Assumptions!$F$62*CHOOSE(N$5,Assumptions!$F$58,Assumptions!$F$59,Assumptions!$F$60)*Assumptions!$F$63</f>
        <v/>
      </c>
      <c r="O36" s="8">
        <f>INDEX(Assumptions!$D$106:$D$117,O$6)*Assumptions!$F$62*CHOOSE(O$5,Assumptions!$F$58,Assumptions!$F$59,Assumptions!$F$60)*Assumptions!$F$63</f>
        <v/>
      </c>
      <c r="P36" s="8">
        <f>INDEX(Assumptions!$D$106:$D$117,P$6)*Assumptions!$F$62*CHOOSE(P$5,Assumptions!$F$58,Assumptions!$F$59,Assumptions!$F$60)*Assumptions!$F$63</f>
        <v/>
      </c>
      <c r="Q36" s="8">
        <f>INDEX(Assumptions!$D$106:$D$117,Q$6)*Assumptions!$F$62*CHOOSE(Q$5,Assumptions!$F$58,Assumptions!$F$59,Assumptions!$F$60)*Assumptions!$F$63</f>
        <v/>
      </c>
      <c r="R36" s="8">
        <f>INDEX(Assumptions!$D$106:$D$117,R$6)*Assumptions!$F$62*CHOOSE(R$5,Assumptions!$F$58,Assumptions!$F$59,Assumptions!$F$60)*Assumptions!$F$63</f>
        <v/>
      </c>
      <c r="S36" s="8">
        <f>INDEX(Assumptions!$D$106:$D$117,S$6)*Assumptions!$F$62*CHOOSE(S$5,Assumptions!$F$58,Assumptions!$F$59,Assumptions!$F$60)*Assumptions!$F$63</f>
        <v/>
      </c>
      <c r="T36" s="8">
        <f>INDEX(Assumptions!$D$106:$D$117,T$6)*Assumptions!$F$62*CHOOSE(T$5,Assumptions!$F$58,Assumptions!$F$59,Assumptions!$F$60)*Assumptions!$F$63</f>
        <v/>
      </c>
      <c r="U36" s="8">
        <f>INDEX(Assumptions!$D$106:$D$117,U$6)*Assumptions!$F$62*CHOOSE(U$5,Assumptions!$F$58,Assumptions!$F$59,Assumptions!$F$60)*Assumptions!$F$63</f>
        <v/>
      </c>
      <c r="V36" s="8">
        <f>INDEX(Assumptions!$D$106:$D$117,V$6)*Assumptions!$F$62*CHOOSE(V$5,Assumptions!$F$58,Assumptions!$F$59,Assumptions!$F$60)*Assumptions!$F$63</f>
        <v/>
      </c>
      <c r="W36" s="8">
        <f>INDEX(Assumptions!$D$106:$D$117,W$6)*Assumptions!$F$62*CHOOSE(W$5,Assumptions!$F$58,Assumptions!$F$59,Assumptions!$F$60)*Assumptions!$F$63</f>
        <v/>
      </c>
      <c r="X36" s="8">
        <f>INDEX(Assumptions!$D$106:$D$117,X$6)*Assumptions!$F$62*CHOOSE(X$5,Assumptions!$F$58,Assumptions!$F$59,Assumptions!$F$60)*Assumptions!$F$63</f>
        <v/>
      </c>
      <c r="Y36" s="8">
        <f>INDEX(Assumptions!$D$106:$D$117,Y$6)*Assumptions!$F$62*CHOOSE(Y$5,Assumptions!$F$58,Assumptions!$F$59,Assumptions!$F$60)*Assumptions!$F$63</f>
        <v/>
      </c>
      <c r="Z36" s="8">
        <f>INDEX(Assumptions!$D$106:$D$117,Z$6)*Assumptions!$F$62*CHOOSE(Z$5,Assumptions!$F$58,Assumptions!$F$59,Assumptions!$F$60)*Assumptions!$F$63</f>
        <v/>
      </c>
      <c r="AA36" s="8">
        <f>INDEX(Assumptions!$D$106:$D$117,AA$6)*Assumptions!$F$62*CHOOSE(AA$5,Assumptions!$F$58,Assumptions!$F$59,Assumptions!$F$60)*Assumptions!$F$63</f>
        <v/>
      </c>
      <c r="AB36" s="8">
        <f>INDEX(Assumptions!$D$106:$D$117,AB$6)*Assumptions!$F$62*CHOOSE(AB$5,Assumptions!$F$58,Assumptions!$F$59,Assumptions!$F$60)*Assumptions!$F$63</f>
        <v/>
      </c>
      <c r="AC36" s="8">
        <f>INDEX(Assumptions!$D$106:$D$117,AC$6)*Assumptions!$F$62*CHOOSE(AC$5,Assumptions!$F$58,Assumptions!$F$59,Assumptions!$F$60)*Assumptions!$F$63</f>
        <v/>
      </c>
      <c r="AD36" s="8">
        <f>INDEX(Assumptions!$D$106:$D$117,AD$6)*Assumptions!$F$62*CHOOSE(AD$5,Assumptions!$F$58,Assumptions!$F$59,Assumptions!$F$60)*Assumptions!$F$63</f>
        <v/>
      </c>
      <c r="AE36" s="8">
        <f>INDEX(Assumptions!$D$106:$D$117,AE$6)*Assumptions!$F$62*CHOOSE(AE$5,Assumptions!$F$58,Assumptions!$F$59,Assumptions!$F$60)*Assumptions!$F$63</f>
        <v/>
      </c>
      <c r="AF36" s="8">
        <f>INDEX(Assumptions!$D$106:$D$117,AF$6)*Assumptions!$F$62*CHOOSE(AF$5,Assumptions!$F$58,Assumptions!$F$59,Assumptions!$F$60)*Assumptions!$F$63</f>
        <v/>
      </c>
      <c r="AG36" s="8">
        <f>INDEX(Assumptions!$D$106:$D$117,AG$6)*Assumptions!$F$62*CHOOSE(AG$5,Assumptions!$F$58,Assumptions!$F$59,Assumptions!$F$60)*Assumptions!$F$63</f>
        <v/>
      </c>
      <c r="AH36" s="8">
        <f>INDEX(Assumptions!$D$106:$D$117,AH$6)*Assumptions!$F$62*CHOOSE(AH$5,Assumptions!$F$58,Assumptions!$F$59,Assumptions!$F$60)*Assumptions!$F$63</f>
        <v/>
      </c>
      <c r="AI36" s="8">
        <f>INDEX(Assumptions!$D$106:$D$117,AI$6)*Assumptions!$F$62*CHOOSE(AI$5,Assumptions!$F$58,Assumptions!$F$59,Assumptions!$F$60)*Assumptions!$F$63</f>
        <v/>
      </c>
      <c r="AJ36" s="8">
        <f>INDEX(Assumptions!$D$106:$D$117,AJ$6)*Assumptions!$F$62*CHOOSE(AJ$5,Assumptions!$F$58,Assumptions!$F$59,Assumptions!$F$60)*Assumptions!$F$63</f>
        <v/>
      </c>
      <c r="AK36" s="8">
        <f>INDEX(Assumptions!$D$106:$D$117,AK$6)*Assumptions!$F$62*CHOOSE(AK$5,Assumptions!$F$58,Assumptions!$F$59,Assumptions!$F$60)*Assumptions!$F$63</f>
        <v/>
      </c>
      <c r="AL36" s="8">
        <f>INDEX(Assumptions!$D$106:$D$117,AL$6)*Assumptions!$F$62*CHOOSE(AL$5,Assumptions!$F$58,Assumptions!$F$59,Assumptions!$F$60)*Assumptions!$F$63</f>
        <v/>
      </c>
    </row>
    <row r="37">
      <c r="B37" s="2" t="inlineStr">
        <is>
          <t>Breakfast coaching</t>
        </is>
      </c>
      <c r="C37" s="8">
        <f>Assumptions!$F$66*Assumptions!$F$20/12*Assumptions!$F$24*Assumptions!$F$70*(1+Assumptions!$F$27)*(CHOOSE(C$5,Assumptions!$F$67,Assumptions!$F$68,Assumptions!$F$69)&gt;0)</f>
        <v/>
      </c>
      <c r="D37" s="8">
        <f>Assumptions!$F$66*Assumptions!$F$20/12*Assumptions!$F$24*Assumptions!$F$70*(1+Assumptions!$F$27)*(CHOOSE(D$5,Assumptions!$F$67,Assumptions!$F$68,Assumptions!$F$69)&gt;0)</f>
        <v/>
      </c>
      <c r="E37" s="8">
        <f>Assumptions!$F$66*Assumptions!$F$20/12*Assumptions!$F$24*Assumptions!$F$70*(1+Assumptions!$F$27)*(CHOOSE(E$5,Assumptions!$F$67,Assumptions!$F$68,Assumptions!$F$69)&gt;0)</f>
        <v/>
      </c>
      <c r="F37" s="8">
        <f>Assumptions!$F$66*Assumptions!$F$20/12*Assumptions!$F$24*Assumptions!$F$70*(1+Assumptions!$F$27)*(CHOOSE(F$5,Assumptions!$F$67,Assumptions!$F$68,Assumptions!$F$69)&gt;0)</f>
        <v/>
      </c>
      <c r="G37" s="8">
        <f>Assumptions!$F$66*Assumptions!$F$20/12*Assumptions!$F$24*Assumptions!$F$70*(1+Assumptions!$F$27)*(CHOOSE(G$5,Assumptions!$F$67,Assumptions!$F$68,Assumptions!$F$69)&gt;0)</f>
        <v/>
      </c>
      <c r="H37" s="8">
        <f>Assumptions!$F$66*Assumptions!$F$20/12*Assumptions!$F$24*Assumptions!$F$70*(1+Assumptions!$F$27)*(CHOOSE(H$5,Assumptions!$F$67,Assumptions!$F$68,Assumptions!$F$69)&gt;0)</f>
        <v/>
      </c>
      <c r="I37" s="8">
        <f>Assumptions!$F$66*Assumptions!$F$20/12*Assumptions!$F$24*Assumptions!$F$70*(1+Assumptions!$F$27)*(CHOOSE(I$5,Assumptions!$F$67,Assumptions!$F$68,Assumptions!$F$69)&gt;0)</f>
        <v/>
      </c>
      <c r="J37" s="8">
        <f>Assumptions!$F$66*Assumptions!$F$20/12*Assumptions!$F$24*Assumptions!$F$70*(1+Assumptions!$F$27)*(CHOOSE(J$5,Assumptions!$F$67,Assumptions!$F$68,Assumptions!$F$69)&gt;0)</f>
        <v/>
      </c>
      <c r="K37" s="8">
        <f>Assumptions!$F$66*Assumptions!$F$20/12*Assumptions!$F$24*Assumptions!$F$70*(1+Assumptions!$F$27)*(CHOOSE(K$5,Assumptions!$F$67,Assumptions!$F$68,Assumptions!$F$69)&gt;0)</f>
        <v/>
      </c>
      <c r="L37" s="8">
        <f>Assumptions!$F$66*Assumptions!$F$20/12*Assumptions!$F$24*Assumptions!$F$70*(1+Assumptions!$F$27)*(CHOOSE(L$5,Assumptions!$F$67,Assumptions!$F$68,Assumptions!$F$69)&gt;0)</f>
        <v/>
      </c>
      <c r="M37" s="8">
        <f>Assumptions!$F$66*Assumptions!$F$20/12*Assumptions!$F$24*Assumptions!$F$70*(1+Assumptions!$F$27)*(CHOOSE(M$5,Assumptions!$F$67,Assumptions!$F$68,Assumptions!$F$69)&gt;0)</f>
        <v/>
      </c>
      <c r="N37" s="8">
        <f>Assumptions!$F$66*Assumptions!$F$20/12*Assumptions!$F$24*Assumptions!$F$70*(1+Assumptions!$F$27)*(CHOOSE(N$5,Assumptions!$F$67,Assumptions!$F$68,Assumptions!$F$69)&gt;0)</f>
        <v/>
      </c>
      <c r="O37" s="8">
        <f>Assumptions!$F$66*Assumptions!$F$20/12*Assumptions!$F$24*Assumptions!$F$70*(1+Assumptions!$F$27)*(CHOOSE(O$5,Assumptions!$F$67,Assumptions!$F$68,Assumptions!$F$69)&gt;0)</f>
        <v/>
      </c>
      <c r="P37" s="8">
        <f>Assumptions!$F$66*Assumptions!$F$20/12*Assumptions!$F$24*Assumptions!$F$70*(1+Assumptions!$F$27)*(CHOOSE(P$5,Assumptions!$F$67,Assumptions!$F$68,Assumptions!$F$69)&gt;0)</f>
        <v/>
      </c>
      <c r="Q37" s="8">
        <f>Assumptions!$F$66*Assumptions!$F$20/12*Assumptions!$F$24*Assumptions!$F$70*(1+Assumptions!$F$27)*(CHOOSE(Q$5,Assumptions!$F$67,Assumptions!$F$68,Assumptions!$F$69)&gt;0)</f>
        <v/>
      </c>
      <c r="R37" s="8">
        <f>Assumptions!$F$66*Assumptions!$F$20/12*Assumptions!$F$24*Assumptions!$F$70*(1+Assumptions!$F$27)*(CHOOSE(R$5,Assumptions!$F$67,Assumptions!$F$68,Assumptions!$F$69)&gt;0)</f>
        <v/>
      </c>
      <c r="S37" s="8">
        <f>Assumptions!$F$66*Assumptions!$F$20/12*Assumptions!$F$24*Assumptions!$F$70*(1+Assumptions!$F$27)*(CHOOSE(S$5,Assumptions!$F$67,Assumptions!$F$68,Assumptions!$F$69)&gt;0)</f>
        <v/>
      </c>
      <c r="T37" s="8">
        <f>Assumptions!$F$66*Assumptions!$F$20/12*Assumptions!$F$24*Assumptions!$F$70*(1+Assumptions!$F$27)*(CHOOSE(T$5,Assumptions!$F$67,Assumptions!$F$68,Assumptions!$F$69)&gt;0)</f>
        <v/>
      </c>
      <c r="U37" s="8">
        <f>Assumptions!$F$66*Assumptions!$F$20/12*Assumptions!$F$24*Assumptions!$F$70*(1+Assumptions!$F$27)*(CHOOSE(U$5,Assumptions!$F$67,Assumptions!$F$68,Assumptions!$F$69)&gt;0)</f>
        <v/>
      </c>
      <c r="V37" s="8">
        <f>Assumptions!$F$66*Assumptions!$F$20/12*Assumptions!$F$24*Assumptions!$F$70*(1+Assumptions!$F$27)*(CHOOSE(V$5,Assumptions!$F$67,Assumptions!$F$68,Assumptions!$F$69)&gt;0)</f>
        <v/>
      </c>
      <c r="W37" s="8">
        <f>Assumptions!$F$66*Assumptions!$F$20/12*Assumptions!$F$24*Assumptions!$F$70*(1+Assumptions!$F$27)*(CHOOSE(W$5,Assumptions!$F$67,Assumptions!$F$68,Assumptions!$F$69)&gt;0)</f>
        <v/>
      </c>
      <c r="X37" s="8">
        <f>Assumptions!$F$66*Assumptions!$F$20/12*Assumptions!$F$24*Assumptions!$F$70*(1+Assumptions!$F$27)*(CHOOSE(X$5,Assumptions!$F$67,Assumptions!$F$68,Assumptions!$F$69)&gt;0)</f>
        <v/>
      </c>
      <c r="Y37" s="8">
        <f>Assumptions!$F$66*Assumptions!$F$20/12*Assumptions!$F$24*Assumptions!$F$70*(1+Assumptions!$F$27)*(CHOOSE(Y$5,Assumptions!$F$67,Assumptions!$F$68,Assumptions!$F$69)&gt;0)</f>
        <v/>
      </c>
      <c r="Z37" s="8">
        <f>Assumptions!$F$66*Assumptions!$F$20/12*Assumptions!$F$24*Assumptions!$F$70*(1+Assumptions!$F$27)*(CHOOSE(Z$5,Assumptions!$F$67,Assumptions!$F$68,Assumptions!$F$69)&gt;0)</f>
        <v/>
      </c>
      <c r="AA37" s="8">
        <f>Assumptions!$F$66*Assumptions!$F$20/12*Assumptions!$F$24*Assumptions!$F$70*(1+Assumptions!$F$27)*(CHOOSE(AA$5,Assumptions!$F$67,Assumptions!$F$68,Assumptions!$F$69)&gt;0)</f>
        <v/>
      </c>
      <c r="AB37" s="8">
        <f>Assumptions!$F$66*Assumptions!$F$20/12*Assumptions!$F$24*Assumptions!$F$70*(1+Assumptions!$F$27)*(CHOOSE(AB$5,Assumptions!$F$67,Assumptions!$F$68,Assumptions!$F$69)&gt;0)</f>
        <v/>
      </c>
      <c r="AC37" s="8">
        <f>Assumptions!$F$66*Assumptions!$F$20/12*Assumptions!$F$24*Assumptions!$F$70*(1+Assumptions!$F$27)*(CHOOSE(AC$5,Assumptions!$F$67,Assumptions!$F$68,Assumptions!$F$69)&gt;0)</f>
        <v/>
      </c>
      <c r="AD37" s="8">
        <f>Assumptions!$F$66*Assumptions!$F$20/12*Assumptions!$F$24*Assumptions!$F$70*(1+Assumptions!$F$27)*(CHOOSE(AD$5,Assumptions!$F$67,Assumptions!$F$68,Assumptions!$F$69)&gt;0)</f>
        <v/>
      </c>
      <c r="AE37" s="8">
        <f>Assumptions!$F$66*Assumptions!$F$20/12*Assumptions!$F$24*Assumptions!$F$70*(1+Assumptions!$F$27)*(CHOOSE(AE$5,Assumptions!$F$67,Assumptions!$F$68,Assumptions!$F$69)&gt;0)</f>
        <v/>
      </c>
      <c r="AF37" s="8">
        <f>Assumptions!$F$66*Assumptions!$F$20/12*Assumptions!$F$24*Assumptions!$F$70*(1+Assumptions!$F$27)*(CHOOSE(AF$5,Assumptions!$F$67,Assumptions!$F$68,Assumptions!$F$69)&gt;0)</f>
        <v/>
      </c>
      <c r="AG37" s="8">
        <f>Assumptions!$F$66*Assumptions!$F$20/12*Assumptions!$F$24*Assumptions!$F$70*(1+Assumptions!$F$27)*(CHOOSE(AG$5,Assumptions!$F$67,Assumptions!$F$68,Assumptions!$F$69)&gt;0)</f>
        <v/>
      </c>
      <c r="AH37" s="8">
        <f>Assumptions!$F$66*Assumptions!$F$20/12*Assumptions!$F$24*Assumptions!$F$70*(1+Assumptions!$F$27)*(CHOOSE(AH$5,Assumptions!$F$67,Assumptions!$F$68,Assumptions!$F$69)&gt;0)</f>
        <v/>
      </c>
      <c r="AI37" s="8">
        <f>Assumptions!$F$66*Assumptions!$F$20/12*Assumptions!$F$24*Assumptions!$F$70*(1+Assumptions!$F$27)*(CHOOSE(AI$5,Assumptions!$F$67,Assumptions!$F$68,Assumptions!$F$69)&gt;0)</f>
        <v/>
      </c>
      <c r="AJ37" s="8">
        <f>Assumptions!$F$66*Assumptions!$F$20/12*Assumptions!$F$24*Assumptions!$F$70*(1+Assumptions!$F$27)*(CHOOSE(AJ$5,Assumptions!$F$67,Assumptions!$F$68,Assumptions!$F$69)&gt;0)</f>
        <v/>
      </c>
      <c r="AK37" s="8">
        <f>Assumptions!$F$66*Assumptions!$F$20/12*Assumptions!$F$24*Assumptions!$F$70*(1+Assumptions!$F$27)*(CHOOSE(AK$5,Assumptions!$F$67,Assumptions!$F$68,Assumptions!$F$69)&gt;0)</f>
        <v/>
      </c>
      <c r="AL37" s="8">
        <f>Assumptions!$F$66*Assumptions!$F$20/12*Assumptions!$F$24*Assumptions!$F$70*(1+Assumptions!$F$27)*(CHOOSE(AL$5,Assumptions!$F$67,Assumptions!$F$68,Assumptions!$F$69)&gt;0)</f>
        <v/>
      </c>
    </row>
    <row r="38">
      <c r="B38" s="2" t="inlineStr">
        <is>
          <t>League coaching</t>
        </is>
      </c>
      <c r="C38" s="8">
        <f>Assumptions!$F$77*Assumptions!$F$20/12*Assumptions!$F$28*(CHOOSE(C$5,Assumptions!$F$74,Assumptions!$F$75,Assumptions!$F$76)&gt;0)</f>
        <v/>
      </c>
      <c r="D38" s="8">
        <f>Assumptions!$F$77*Assumptions!$F$20/12*Assumptions!$F$28*(CHOOSE(D$5,Assumptions!$F$74,Assumptions!$F$75,Assumptions!$F$76)&gt;0)</f>
        <v/>
      </c>
      <c r="E38" s="8">
        <f>Assumptions!$F$77*Assumptions!$F$20/12*Assumptions!$F$28*(CHOOSE(E$5,Assumptions!$F$74,Assumptions!$F$75,Assumptions!$F$76)&gt;0)</f>
        <v/>
      </c>
      <c r="F38" s="8">
        <f>Assumptions!$F$77*Assumptions!$F$20/12*Assumptions!$F$28*(CHOOSE(F$5,Assumptions!$F$74,Assumptions!$F$75,Assumptions!$F$76)&gt;0)</f>
        <v/>
      </c>
      <c r="G38" s="8">
        <f>Assumptions!$F$77*Assumptions!$F$20/12*Assumptions!$F$28*(CHOOSE(G$5,Assumptions!$F$74,Assumptions!$F$75,Assumptions!$F$76)&gt;0)</f>
        <v/>
      </c>
      <c r="H38" s="8">
        <f>Assumptions!$F$77*Assumptions!$F$20/12*Assumptions!$F$28*(CHOOSE(H$5,Assumptions!$F$74,Assumptions!$F$75,Assumptions!$F$76)&gt;0)</f>
        <v/>
      </c>
      <c r="I38" s="8">
        <f>Assumptions!$F$77*Assumptions!$F$20/12*Assumptions!$F$28*(CHOOSE(I$5,Assumptions!$F$74,Assumptions!$F$75,Assumptions!$F$76)&gt;0)</f>
        <v/>
      </c>
      <c r="J38" s="8">
        <f>Assumptions!$F$77*Assumptions!$F$20/12*Assumptions!$F$28*(CHOOSE(J$5,Assumptions!$F$74,Assumptions!$F$75,Assumptions!$F$76)&gt;0)</f>
        <v/>
      </c>
      <c r="K38" s="8">
        <f>Assumptions!$F$77*Assumptions!$F$20/12*Assumptions!$F$28*(CHOOSE(K$5,Assumptions!$F$74,Assumptions!$F$75,Assumptions!$F$76)&gt;0)</f>
        <v/>
      </c>
      <c r="L38" s="8">
        <f>Assumptions!$F$77*Assumptions!$F$20/12*Assumptions!$F$28*(CHOOSE(L$5,Assumptions!$F$74,Assumptions!$F$75,Assumptions!$F$76)&gt;0)</f>
        <v/>
      </c>
      <c r="M38" s="8">
        <f>Assumptions!$F$77*Assumptions!$F$20/12*Assumptions!$F$28*(CHOOSE(M$5,Assumptions!$F$74,Assumptions!$F$75,Assumptions!$F$76)&gt;0)</f>
        <v/>
      </c>
      <c r="N38" s="8">
        <f>Assumptions!$F$77*Assumptions!$F$20/12*Assumptions!$F$28*(CHOOSE(N$5,Assumptions!$F$74,Assumptions!$F$75,Assumptions!$F$76)&gt;0)</f>
        <v/>
      </c>
      <c r="O38" s="8">
        <f>Assumptions!$F$77*Assumptions!$F$20/12*Assumptions!$F$28*(CHOOSE(O$5,Assumptions!$F$74,Assumptions!$F$75,Assumptions!$F$76)&gt;0)</f>
        <v/>
      </c>
      <c r="P38" s="8">
        <f>Assumptions!$F$77*Assumptions!$F$20/12*Assumptions!$F$28*(CHOOSE(P$5,Assumptions!$F$74,Assumptions!$F$75,Assumptions!$F$76)&gt;0)</f>
        <v/>
      </c>
      <c r="Q38" s="8">
        <f>Assumptions!$F$77*Assumptions!$F$20/12*Assumptions!$F$28*(CHOOSE(Q$5,Assumptions!$F$74,Assumptions!$F$75,Assumptions!$F$76)&gt;0)</f>
        <v/>
      </c>
      <c r="R38" s="8">
        <f>Assumptions!$F$77*Assumptions!$F$20/12*Assumptions!$F$28*(CHOOSE(R$5,Assumptions!$F$74,Assumptions!$F$75,Assumptions!$F$76)&gt;0)</f>
        <v/>
      </c>
      <c r="S38" s="8">
        <f>Assumptions!$F$77*Assumptions!$F$20/12*Assumptions!$F$28*(CHOOSE(S$5,Assumptions!$F$74,Assumptions!$F$75,Assumptions!$F$76)&gt;0)</f>
        <v/>
      </c>
      <c r="T38" s="8">
        <f>Assumptions!$F$77*Assumptions!$F$20/12*Assumptions!$F$28*(CHOOSE(T$5,Assumptions!$F$74,Assumptions!$F$75,Assumptions!$F$76)&gt;0)</f>
        <v/>
      </c>
      <c r="U38" s="8">
        <f>Assumptions!$F$77*Assumptions!$F$20/12*Assumptions!$F$28*(CHOOSE(U$5,Assumptions!$F$74,Assumptions!$F$75,Assumptions!$F$76)&gt;0)</f>
        <v/>
      </c>
      <c r="V38" s="8">
        <f>Assumptions!$F$77*Assumptions!$F$20/12*Assumptions!$F$28*(CHOOSE(V$5,Assumptions!$F$74,Assumptions!$F$75,Assumptions!$F$76)&gt;0)</f>
        <v/>
      </c>
      <c r="W38" s="8">
        <f>Assumptions!$F$77*Assumptions!$F$20/12*Assumptions!$F$28*(CHOOSE(W$5,Assumptions!$F$74,Assumptions!$F$75,Assumptions!$F$76)&gt;0)</f>
        <v/>
      </c>
      <c r="X38" s="8">
        <f>Assumptions!$F$77*Assumptions!$F$20/12*Assumptions!$F$28*(CHOOSE(X$5,Assumptions!$F$74,Assumptions!$F$75,Assumptions!$F$76)&gt;0)</f>
        <v/>
      </c>
      <c r="Y38" s="8">
        <f>Assumptions!$F$77*Assumptions!$F$20/12*Assumptions!$F$28*(CHOOSE(Y$5,Assumptions!$F$74,Assumptions!$F$75,Assumptions!$F$76)&gt;0)</f>
        <v/>
      </c>
      <c r="Z38" s="8">
        <f>Assumptions!$F$77*Assumptions!$F$20/12*Assumptions!$F$28*(CHOOSE(Z$5,Assumptions!$F$74,Assumptions!$F$75,Assumptions!$F$76)&gt;0)</f>
        <v/>
      </c>
      <c r="AA38" s="8">
        <f>Assumptions!$F$77*Assumptions!$F$20/12*Assumptions!$F$28*(CHOOSE(AA$5,Assumptions!$F$74,Assumptions!$F$75,Assumptions!$F$76)&gt;0)</f>
        <v/>
      </c>
      <c r="AB38" s="8">
        <f>Assumptions!$F$77*Assumptions!$F$20/12*Assumptions!$F$28*(CHOOSE(AB$5,Assumptions!$F$74,Assumptions!$F$75,Assumptions!$F$76)&gt;0)</f>
        <v/>
      </c>
      <c r="AC38" s="8">
        <f>Assumptions!$F$77*Assumptions!$F$20/12*Assumptions!$F$28*(CHOOSE(AC$5,Assumptions!$F$74,Assumptions!$F$75,Assumptions!$F$76)&gt;0)</f>
        <v/>
      </c>
      <c r="AD38" s="8">
        <f>Assumptions!$F$77*Assumptions!$F$20/12*Assumptions!$F$28*(CHOOSE(AD$5,Assumptions!$F$74,Assumptions!$F$75,Assumptions!$F$76)&gt;0)</f>
        <v/>
      </c>
      <c r="AE38" s="8">
        <f>Assumptions!$F$77*Assumptions!$F$20/12*Assumptions!$F$28*(CHOOSE(AE$5,Assumptions!$F$74,Assumptions!$F$75,Assumptions!$F$76)&gt;0)</f>
        <v/>
      </c>
      <c r="AF38" s="8">
        <f>Assumptions!$F$77*Assumptions!$F$20/12*Assumptions!$F$28*(CHOOSE(AF$5,Assumptions!$F$74,Assumptions!$F$75,Assumptions!$F$76)&gt;0)</f>
        <v/>
      </c>
      <c r="AG38" s="8">
        <f>Assumptions!$F$77*Assumptions!$F$20/12*Assumptions!$F$28*(CHOOSE(AG$5,Assumptions!$F$74,Assumptions!$F$75,Assumptions!$F$76)&gt;0)</f>
        <v/>
      </c>
      <c r="AH38" s="8">
        <f>Assumptions!$F$77*Assumptions!$F$20/12*Assumptions!$F$28*(CHOOSE(AH$5,Assumptions!$F$74,Assumptions!$F$75,Assumptions!$F$76)&gt;0)</f>
        <v/>
      </c>
      <c r="AI38" s="8">
        <f>Assumptions!$F$77*Assumptions!$F$20/12*Assumptions!$F$28*(CHOOSE(AI$5,Assumptions!$F$74,Assumptions!$F$75,Assumptions!$F$76)&gt;0)</f>
        <v/>
      </c>
      <c r="AJ38" s="8">
        <f>Assumptions!$F$77*Assumptions!$F$20/12*Assumptions!$F$28*(CHOOSE(AJ$5,Assumptions!$F$74,Assumptions!$F$75,Assumptions!$F$76)&gt;0)</f>
        <v/>
      </c>
      <c r="AK38" s="8">
        <f>Assumptions!$F$77*Assumptions!$F$20/12*Assumptions!$F$28*(CHOOSE(AK$5,Assumptions!$F$74,Assumptions!$F$75,Assumptions!$F$76)&gt;0)</f>
        <v/>
      </c>
      <c r="AL38" s="8">
        <f>Assumptions!$F$77*Assumptions!$F$20/12*Assumptions!$F$28*(CHOOSE(AL$5,Assumptions!$F$74,Assumptions!$F$75,Assumptions!$F$76)&gt;0)</f>
        <v/>
      </c>
    </row>
    <row r="39">
      <c r="B39" s="2" t="inlineStr">
        <is>
          <t>Community session coaching</t>
        </is>
      </c>
      <c r="C39" s="8">
        <f>Assumptions!$F$86*Assumptions!$F$20/12*Assumptions!$F$28</f>
        <v/>
      </c>
      <c r="D39" s="8">
        <f>Assumptions!$F$86*Assumptions!$F$20/12*Assumptions!$F$28</f>
        <v/>
      </c>
      <c r="E39" s="8">
        <f>Assumptions!$F$86*Assumptions!$F$20/12*Assumptions!$F$28</f>
        <v/>
      </c>
      <c r="F39" s="8">
        <f>Assumptions!$F$86*Assumptions!$F$20/12*Assumptions!$F$28</f>
        <v/>
      </c>
      <c r="G39" s="8">
        <f>Assumptions!$F$86*Assumptions!$F$20/12*Assumptions!$F$28</f>
        <v/>
      </c>
      <c r="H39" s="8">
        <f>Assumptions!$F$86*Assumptions!$F$20/12*Assumptions!$F$28</f>
        <v/>
      </c>
      <c r="I39" s="8">
        <f>Assumptions!$F$86*Assumptions!$F$20/12*Assumptions!$F$28</f>
        <v/>
      </c>
      <c r="J39" s="8">
        <f>Assumptions!$F$86*Assumptions!$F$20/12*Assumptions!$F$28</f>
        <v/>
      </c>
      <c r="K39" s="8">
        <f>Assumptions!$F$86*Assumptions!$F$20/12*Assumptions!$F$28</f>
        <v/>
      </c>
      <c r="L39" s="8">
        <f>Assumptions!$F$86*Assumptions!$F$20/12*Assumptions!$F$28</f>
        <v/>
      </c>
      <c r="M39" s="8">
        <f>Assumptions!$F$86*Assumptions!$F$20/12*Assumptions!$F$28</f>
        <v/>
      </c>
      <c r="N39" s="8">
        <f>Assumptions!$F$86*Assumptions!$F$20/12*Assumptions!$F$28</f>
        <v/>
      </c>
      <c r="O39" s="8">
        <f>Assumptions!$F$86*Assumptions!$F$20/12*Assumptions!$F$28</f>
        <v/>
      </c>
      <c r="P39" s="8">
        <f>Assumptions!$F$86*Assumptions!$F$20/12*Assumptions!$F$28</f>
        <v/>
      </c>
      <c r="Q39" s="8">
        <f>Assumptions!$F$86*Assumptions!$F$20/12*Assumptions!$F$28</f>
        <v/>
      </c>
      <c r="R39" s="8">
        <f>Assumptions!$F$86*Assumptions!$F$20/12*Assumptions!$F$28</f>
        <v/>
      </c>
      <c r="S39" s="8">
        <f>Assumptions!$F$86*Assumptions!$F$20/12*Assumptions!$F$28</f>
        <v/>
      </c>
      <c r="T39" s="8">
        <f>Assumptions!$F$86*Assumptions!$F$20/12*Assumptions!$F$28</f>
        <v/>
      </c>
      <c r="U39" s="8">
        <f>Assumptions!$F$86*Assumptions!$F$20/12*Assumptions!$F$28</f>
        <v/>
      </c>
      <c r="V39" s="8">
        <f>Assumptions!$F$86*Assumptions!$F$20/12*Assumptions!$F$28</f>
        <v/>
      </c>
      <c r="W39" s="8">
        <f>Assumptions!$F$86*Assumptions!$F$20/12*Assumptions!$F$28</f>
        <v/>
      </c>
      <c r="X39" s="8">
        <f>Assumptions!$F$86*Assumptions!$F$20/12*Assumptions!$F$28</f>
        <v/>
      </c>
      <c r="Y39" s="8">
        <f>Assumptions!$F$86*Assumptions!$F$20/12*Assumptions!$F$28</f>
        <v/>
      </c>
      <c r="Z39" s="8">
        <f>Assumptions!$F$86*Assumptions!$F$20/12*Assumptions!$F$28</f>
        <v/>
      </c>
      <c r="AA39" s="8">
        <f>Assumptions!$F$86*Assumptions!$F$20/12*Assumptions!$F$28</f>
        <v/>
      </c>
      <c r="AB39" s="8">
        <f>Assumptions!$F$86*Assumptions!$F$20/12*Assumptions!$F$28</f>
        <v/>
      </c>
      <c r="AC39" s="8">
        <f>Assumptions!$F$86*Assumptions!$F$20/12*Assumptions!$F$28</f>
        <v/>
      </c>
      <c r="AD39" s="8">
        <f>Assumptions!$F$86*Assumptions!$F$20/12*Assumptions!$F$28</f>
        <v/>
      </c>
      <c r="AE39" s="8">
        <f>Assumptions!$F$86*Assumptions!$F$20/12*Assumptions!$F$28</f>
        <v/>
      </c>
      <c r="AF39" s="8">
        <f>Assumptions!$F$86*Assumptions!$F$20/12*Assumptions!$F$28</f>
        <v/>
      </c>
      <c r="AG39" s="8">
        <f>Assumptions!$F$86*Assumptions!$F$20/12*Assumptions!$F$28</f>
        <v/>
      </c>
      <c r="AH39" s="8">
        <f>Assumptions!$F$86*Assumptions!$F$20/12*Assumptions!$F$28</f>
        <v/>
      </c>
      <c r="AI39" s="8">
        <f>Assumptions!$F$86*Assumptions!$F$20/12*Assumptions!$F$28</f>
        <v/>
      </c>
      <c r="AJ39" s="8">
        <f>Assumptions!$F$86*Assumptions!$F$20/12*Assumptions!$F$28</f>
        <v/>
      </c>
      <c r="AK39" s="8">
        <f>Assumptions!$F$86*Assumptions!$F$20/12*Assumptions!$F$28</f>
        <v/>
      </c>
      <c r="AL39" s="8">
        <f>Assumptions!$F$86*Assumptions!$F$20/12*Assumptions!$F$28</f>
        <v/>
      </c>
    </row>
    <row r="40">
      <c r="B40" s="2" t="inlineStr">
        <is>
          <t>Card and payment fees</t>
        </is>
      </c>
      <c r="C40" s="8">
        <f>SUM(C16:C22,C24:C25)/(1-Assumptions!$F$21)*Assumptions!$F$22</f>
        <v/>
      </c>
      <c r="D40" s="8">
        <f>SUM(D16:D22,D24:D25)/(1-Assumptions!$F$21)*Assumptions!$F$22</f>
        <v/>
      </c>
      <c r="E40" s="8">
        <f>SUM(E16:E22,E24:E25)/(1-Assumptions!$F$21)*Assumptions!$F$22</f>
        <v/>
      </c>
      <c r="F40" s="8">
        <f>SUM(F16:F22,F24:F25)/(1-Assumptions!$F$21)*Assumptions!$F$22</f>
        <v/>
      </c>
      <c r="G40" s="8">
        <f>SUM(G16:G22,G24:G25)/(1-Assumptions!$F$21)*Assumptions!$F$22</f>
        <v/>
      </c>
      <c r="H40" s="8">
        <f>SUM(H16:H22,H24:H25)/(1-Assumptions!$F$21)*Assumptions!$F$22</f>
        <v/>
      </c>
      <c r="I40" s="8">
        <f>SUM(I16:I22,I24:I25)/(1-Assumptions!$F$21)*Assumptions!$F$22</f>
        <v/>
      </c>
      <c r="J40" s="8">
        <f>SUM(J16:J22,J24:J25)/(1-Assumptions!$F$21)*Assumptions!$F$22</f>
        <v/>
      </c>
      <c r="K40" s="8">
        <f>SUM(K16:K22,K24:K25)/(1-Assumptions!$F$21)*Assumptions!$F$22</f>
        <v/>
      </c>
      <c r="L40" s="8">
        <f>SUM(L16:L22,L24:L25)/(1-Assumptions!$F$21)*Assumptions!$F$22</f>
        <v/>
      </c>
      <c r="M40" s="8">
        <f>SUM(M16:M22,M24:M25)/(1-Assumptions!$F$21)*Assumptions!$F$22</f>
        <v/>
      </c>
      <c r="N40" s="8">
        <f>SUM(N16:N22,N24:N25)/(1-Assumptions!$F$21)*Assumptions!$F$22</f>
        <v/>
      </c>
      <c r="O40" s="8">
        <f>SUM(O16:O22,O24:O25)/(1-Assumptions!$F$21)*Assumptions!$F$22</f>
        <v/>
      </c>
      <c r="P40" s="8">
        <f>SUM(P16:P22,P24:P25)/(1-Assumptions!$F$21)*Assumptions!$F$22</f>
        <v/>
      </c>
      <c r="Q40" s="8">
        <f>SUM(Q16:Q22,Q24:Q25)/(1-Assumptions!$F$21)*Assumptions!$F$22</f>
        <v/>
      </c>
      <c r="R40" s="8">
        <f>SUM(R16:R22,R24:R25)/(1-Assumptions!$F$21)*Assumptions!$F$22</f>
        <v/>
      </c>
      <c r="S40" s="8">
        <f>SUM(S16:S22,S24:S25)/(1-Assumptions!$F$21)*Assumptions!$F$22</f>
        <v/>
      </c>
      <c r="T40" s="8">
        <f>SUM(T16:T22,T24:T25)/(1-Assumptions!$F$21)*Assumptions!$F$22</f>
        <v/>
      </c>
      <c r="U40" s="8">
        <f>SUM(U16:U22,U24:U25)/(1-Assumptions!$F$21)*Assumptions!$F$22</f>
        <v/>
      </c>
      <c r="V40" s="8">
        <f>SUM(V16:V22,V24:V25)/(1-Assumptions!$F$21)*Assumptions!$F$22</f>
        <v/>
      </c>
      <c r="W40" s="8">
        <f>SUM(W16:W22,W24:W25)/(1-Assumptions!$F$21)*Assumptions!$F$22</f>
        <v/>
      </c>
      <c r="X40" s="8">
        <f>SUM(X16:X22,X24:X25)/(1-Assumptions!$F$21)*Assumptions!$F$22</f>
        <v/>
      </c>
      <c r="Y40" s="8">
        <f>SUM(Y16:Y22,Y24:Y25)/(1-Assumptions!$F$21)*Assumptions!$F$22</f>
        <v/>
      </c>
      <c r="Z40" s="8">
        <f>SUM(Z16:Z22,Z24:Z25)/(1-Assumptions!$F$21)*Assumptions!$F$22</f>
        <v/>
      </c>
      <c r="AA40" s="8">
        <f>SUM(AA16:AA22,AA24:AA25)/(1-Assumptions!$F$21)*Assumptions!$F$22</f>
        <v/>
      </c>
      <c r="AB40" s="8">
        <f>SUM(AB16:AB22,AB24:AB25)/(1-Assumptions!$F$21)*Assumptions!$F$22</f>
        <v/>
      </c>
      <c r="AC40" s="8">
        <f>SUM(AC16:AC22,AC24:AC25)/(1-Assumptions!$F$21)*Assumptions!$F$22</f>
        <v/>
      </c>
      <c r="AD40" s="8">
        <f>SUM(AD16:AD22,AD24:AD25)/(1-Assumptions!$F$21)*Assumptions!$F$22</f>
        <v/>
      </c>
      <c r="AE40" s="8">
        <f>SUM(AE16:AE22,AE24:AE25)/(1-Assumptions!$F$21)*Assumptions!$F$22</f>
        <v/>
      </c>
      <c r="AF40" s="8">
        <f>SUM(AF16:AF22,AF24:AF25)/(1-Assumptions!$F$21)*Assumptions!$F$22</f>
        <v/>
      </c>
      <c r="AG40" s="8">
        <f>SUM(AG16:AG22,AG24:AG25)/(1-Assumptions!$F$21)*Assumptions!$F$22</f>
        <v/>
      </c>
      <c r="AH40" s="8">
        <f>SUM(AH16:AH22,AH24:AH25)/(1-Assumptions!$F$21)*Assumptions!$F$22</f>
        <v/>
      </c>
      <c r="AI40" s="8">
        <f>SUM(AI16:AI22,AI24:AI25)/(1-Assumptions!$F$21)*Assumptions!$F$22</f>
        <v/>
      </c>
      <c r="AJ40" s="8">
        <f>SUM(AJ16:AJ22,AJ24:AJ25)/(1-Assumptions!$F$21)*Assumptions!$F$22</f>
        <v/>
      </c>
      <c r="AK40" s="8">
        <f>SUM(AK16:AK22,AK24:AK25)/(1-Assumptions!$F$21)*Assumptions!$F$22</f>
        <v/>
      </c>
      <c r="AL40" s="8">
        <f>SUM(AL16:AL22,AL24:AL25)/(1-Assumptions!$F$21)*Assumptions!$F$22</f>
        <v/>
      </c>
    </row>
    <row r="41">
      <c r="B41" s="9" t="inlineStr">
        <is>
          <t>Total direct costs</t>
        </is>
      </c>
      <c r="C41" s="10">
        <f>SUM(C32:C40)</f>
        <v/>
      </c>
      <c r="D41" s="10">
        <f>SUM(D32:D40)</f>
        <v/>
      </c>
      <c r="E41" s="10">
        <f>SUM(E32:E40)</f>
        <v/>
      </c>
      <c r="F41" s="10">
        <f>SUM(F32:F40)</f>
        <v/>
      </c>
      <c r="G41" s="10">
        <f>SUM(G32:G40)</f>
        <v/>
      </c>
      <c r="H41" s="10">
        <f>SUM(H32:H40)</f>
        <v/>
      </c>
      <c r="I41" s="10">
        <f>SUM(I32:I40)</f>
        <v/>
      </c>
      <c r="J41" s="10">
        <f>SUM(J32:J40)</f>
        <v/>
      </c>
      <c r="K41" s="10">
        <f>SUM(K32:K40)</f>
        <v/>
      </c>
      <c r="L41" s="10">
        <f>SUM(L32:L40)</f>
        <v/>
      </c>
      <c r="M41" s="10">
        <f>SUM(M32:M40)</f>
        <v/>
      </c>
      <c r="N41" s="10">
        <f>SUM(N32:N40)</f>
        <v/>
      </c>
      <c r="O41" s="10">
        <f>SUM(O32:O40)</f>
        <v/>
      </c>
      <c r="P41" s="10">
        <f>SUM(P32:P40)</f>
        <v/>
      </c>
      <c r="Q41" s="10">
        <f>SUM(Q32:Q40)</f>
        <v/>
      </c>
      <c r="R41" s="10">
        <f>SUM(R32:R40)</f>
        <v/>
      </c>
      <c r="S41" s="10">
        <f>SUM(S32:S40)</f>
        <v/>
      </c>
      <c r="T41" s="10">
        <f>SUM(T32:T40)</f>
        <v/>
      </c>
      <c r="U41" s="10">
        <f>SUM(U32:U40)</f>
        <v/>
      </c>
      <c r="V41" s="10">
        <f>SUM(V32:V40)</f>
        <v/>
      </c>
      <c r="W41" s="10">
        <f>SUM(W32:W40)</f>
        <v/>
      </c>
      <c r="X41" s="10">
        <f>SUM(X32:X40)</f>
        <v/>
      </c>
      <c r="Y41" s="10">
        <f>SUM(Y32:Y40)</f>
        <v/>
      </c>
      <c r="Z41" s="10">
        <f>SUM(Z32:Z40)</f>
        <v/>
      </c>
      <c r="AA41" s="10">
        <f>SUM(AA32:AA40)</f>
        <v/>
      </c>
      <c r="AB41" s="10">
        <f>SUM(AB32:AB40)</f>
        <v/>
      </c>
      <c r="AC41" s="10">
        <f>SUM(AC32:AC40)</f>
        <v/>
      </c>
      <c r="AD41" s="10">
        <f>SUM(AD32:AD40)</f>
        <v/>
      </c>
      <c r="AE41" s="10">
        <f>SUM(AE32:AE40)</f>
        <v/>
      </c>
      <c r="AF41" s="10">
        <f>SUM(AF32:AF40)</f>
        <v/>
      </c>
      <c r="AG41" s="10">
        <f>SUM(AG32:AG40)</f>
        <v/>
      </c>
      <c r="AH41" s="10">
        <f>SUM(AH32:AH40)</f>
        <v/>
      </c>
      <c r="AI41" s="10">
        <f>SUM(AI32:AI40)</f>
        <v/>
      </c>
      <c r="AJ41" s="10">
        <f>SUM(AJ32:AJ40)</f>
        <v/>
      </c>
      <c r="AK41" s="10">
        <f>SUM(AK32:AK40)</f>
        <v/>
      </c>
      <c r="AL41" s="10">
        <f>SUM(AL32:AL40)</f>
        <v/>
      </c>
    </row>
    <row r="43">
      <c r="B43" s="3" t="inlineStr">
        <is>
          <t>Contribution after direct costs</t>
        </is>
      </c>
      <c r="C43" s="13">
        <f>C29-C41</f>
        <v/>
      </c>
      <c r="D43" s="13">
        <f>D29-D41</f>
        <v/>
      </c>
      <c r="E43" s="13">
        <f>E29-E41</f>
        <v/>
      </c>
      <c r="F43" s="13">
        <f>F29-F41</f>
        <v/>
      </c>
      <c r="G43" s="13">
        <f>G29-G41</f>
        <v/>
      </c>
      <c r="H43" s="13">
        <f>H29-H41</f>
        <v/>
      </c>
      <c r="I43" s="13">
        <f>I29-I41</f>
        <v/>
      </c>
      <c r="J43" s="13">
        <f>J29-J41</f>
        <v/>
      </c>
      <c r="K43" s="13">
        <f>K29-K41</f>
        <v/>
      </c>
      <c r="L43" s="13">
        <f>L29-L41</f>
        <v/>
      </c>
      <c r="M43" s="13">
        <f>M29-M41</f>
        <v/>
      </c>
      <c r="N43" s="13">
        <f>N29-N41</f>
        <v/>
      </c>
      <c r="O43" s="13">
        <f>O29-O41</f>
        <v/>
      </c>
      <c r="P43" s="13">
        <f>P29-P41</f>
        <v/>
      </c>
      <c r="Q43" s="13">
        <f>Q29-Q41</f>
        <v/>
      </c>
      <c r="R43" s="13">
        <f>R29-R41</f>
        <v/>
      </c>
      <c r="S43" s="13">
        <f>S29-S41</f>
        <v/>
      </c>
      <c r="T43" s="13">
        <f>T29-T41</f>
        <v/>
      </c>
      <c r="U43" s="13">
        <f>U29-U41</f>
        <v/>
      </c>
      <c r="V43" s="13">
        <f>V29-V41</f>
        <v/>
      </c>
      <c r="W43" s="13">
        <f>W29-W41</f>
        <v/>
      </c>
      <c r="X43" s="13">
        <f>X29-X41</f>
        <v/>
      </c>
      <c r="Y43" s="13">
        <f>Y29-Y41</f>
        <v/>
      </c>
      <c r="Z43" s="13">
        <f>Z29-Z41</f>
        <v/>
      </c>
      <c r="AA43" s="13">
        <f>AA29-AA41</f>
        <v/>
      </c>
      <c r="AB43" s="13">
        <f>AB29-AB41</f>
        <v/>
      </c>
      <c r="AC43" s="13">
        <f>AC29-AC41</f>
        <v/>
      </c>
      <c r="AD43" s="13">
        <f>AD29-AD41</f>
        <v/>
      </c>
      <c r="AE43" s="13">
        <f>AE29-AE41</f>
        <v/>
      </c>
      <c r="AF43" s="13">
        <f>AF29-AF41</f>
        <v/>
      </c>
      <c r="AG43" s="13">
        <f>AG29-AG41</f>
        <v/>
      </c>
      <c r="AH43" s="13">
        <f>AH29-AH41</f>
        <v/>
      </c>
      <c r="AI43" s="13">
        <f>AI29-AI41</f>
        <v/>
      </c>
      <c r="AJ43" s="13">
        <f>AJ29-AJ41</f>
        <v/>
      </c>
      <c r="AK43" s="13">
        <f>AK29-AK41</f>
        <v/>
      </c>
      <c r="AL43" s="13">
        <f>AL29-AL41</f>
        <v/>
      </c>
    </row>
    <row r="45">
      <c r="B45" s="15" t="inlineStr">
        <is>
          <t>ARENA COSTS</t>
        </is>
      </c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</row>
    <row r="46">
      <c r="B46" s="2" t="inlineStr">
        <is>
          <t>Supplier finance (Zappshelter package)</t>
        </is>
      </c>
      <c r="C46" s="8">
        <f>Assumptions!$F$91*(C3&lt;=Assumptions!$F$92)</f>
        <v/>
      </c>
      <c r="D46" s="8">
        <f>Assumptions!$F$91*(D3&lt;=Assumptions!$F$92)</f>
        <v/>
      </c>
      <c r="E46" s="8">
        <f>Assumptions!$F$91*(E3&lt;=Assumptions!$F$92)</f>
        <v/>
      </c>
      <c r="F46" s="8">
        <f>Assumptions!$F$91*(F3&lt;=Assumptions!$F$92)</f>
        <v/>
      </c>
      <c r="G46" s="8">
        <f>Assumptions!$F$91*(G3&lt;=Assumptions!$F$92)</f>
        <v/>
      </c>
      <c r="H46" s="8">
        <f>Assumptions!$F$91*(H3&lt;=Assumptions!$F$92)</f>
        <v/>
      </c>
      <c r="I46" s="8">
        <f>Assumptions!$F$91*(I3&lt;=Assumptions!$F$92)</f>
        <v/>
      </c>
      <c r="J46" s="8">
        <f>Assumptions!$F$91*(J3&lt;=Assumptions!$F$92)</f>
        <v/>
      </c>
      <c r="K46" s="8">
        <f>Assumptions!$F$91*(K3&lt;=Assumptions!$F$92)</f>
        <v/>
      </c>
      <c r="L46" s="8">
        <f>Assumptions!$F$91*(L3&lt;=Assumptions!$F$92)</f>
        <v/>
      </c>
      <c r="M46" s="8">
        <f>Assumptions!$F$91*(M3&lt;=Assumptions!$F$92)</f>
        <v/>
      </c>
      <c r="N46" s="8">
        <f>Assumptions!$F$91*(N3&lt;=Assumptions!$F$92)</f>
        <v/>
      </c>
      <c r="O46" s="8">
        <f>Assumptions!$F$91*(O3&lt;=Assumptions!$F$92)</f>
        <v/>
      </c>
      <c r="P46" s="8">
        <f>Assumptions!$F$91*(P3&lt;=Assumptions!$F$92)</f>
        <v/>
      </c>
      <c r="Q46" s="8">
        <f>Assumptions!$F$91*(Q3&lt;=Assumptions!$F$92)</f>
        <v/>
      </c>
      <c r="R46" s="8">
        <f>Assumptions!$F$91*(R3&lt;=Assumptions!$F$92)</f>
        <v/>
      </c>
      <c r="S46" s="8">
        <f>Assumptions!$F$91*(S3&lt;=Assumptions!$F$92)</f>
        <v/>
      </c>
      <c r="T46" s="8">
        <f>Assumptions!$F$91*(T3&lt;=Assumptions!$F$92)</f>
        <v/>
      </c>
      <c r="U46" s="8">
        <f>Assumptions!$F$91*(U3&lt;=Assumptions!$F$92)</f>
        <v/>
      </c>
      <c r="V46" s="8">
        <f>Assumptions!$F$91*(V3&lt;=Assumptions!$F$92)</f>
        <v/>
      </c>
      <c r="W46" s="8">
        <f>Assumptions!$F$91*(W3&lt;=Assumptions!$F$92)</f>
        <v/>
      </c>
      <c r="X46" s="8">
        <f>Assumptions!$F$91*(X3&lt;=Assumptions!$F$92)</f>
        <v/>
      </c>
      <c r="Y46" s="8">
        <f>Assumptions!$F$91*(Y3&lt;=Assumptions!$F$92)</f>
        <v/>
      </c>
      <c r="Z46" s="8">
        <f>Assumptions!$F$91*(Z3&lt;=Assumptions!$F$92)</f>
        <v/>
      </c>
      <c r="AA46" s="8">
        <f>Assumptions!$F$91*(AA3&lt;=Assumptions!$F$92)</f>
        <v/>
      </c>
      <c r="AB46" s="8">
        <f>Assumptions!$F$91*(AB3&lt;=Assumptions!$F$92)</f>
        <v/>
      </c>
      <c r="AC46" s="8">
        <f>Assumptions!$F$91*(AC3&lt;=Assumptions!$F$92)</f>
        <v/>
      </c>
      <c r="AD46" s="8">
        <f>Assumptions!$F$91*(AD3&lt;=Assumptions!$F$92)</f>
        <v/>
      </c>
      <c r="AE46" s="8">
        <f>Assumptions!$F$91*(AE3&lt;=Assumptions!$F$92)</f>
        <v/>
      </c>
      <c r="AF46" s="8">
        <f>Assumptions!$F$91*(AF3&lt;=Assumptions!$F$92)</f>
        <v/>
      </c>
      <c r="AG46" s="8">
        <f>Assumptions!$F$91*(AG3&lt;=Assumptions!$F$92)</f>
        <v/>
      </c>
      <c r="AH46" s="8">
        <f>Assumptions!$F$91*(AH3&lt;=Assumptions!$F$92)</f>
        <v/>
      </c>
      <c r="AI46" s="8">
        <f>Assumptions!$F$91*(AI3&lt;=Assumptions!$F$92)</f>
        <v/>
      </c>
      <c r="AJ46" s="8">
        <f>Assumptions!$F$91*(AJ3&lt;=Assumptions!$F$92)</f>
        <v/>
      </c>
      <c r="AK46" s="8">
        <f>Assumptions!$F$91*(AK3&lt;=Assumptions!$F$92)</f>
        <v/>
      </c>
      <c r="AL46" s="8">
        <f>Assumptions!$F$91*(AL3&lt;=Assumptions!$F$92)</f>
        <v/>
      </c>
    </row>
    <row r="47">
      <c r="B47" s="2" t="inlineStr">
        <is>
          <t>Running: insurance, power, maintenance</t>
        </is>
      </c>
      <c r="C47" s="8">
        <f>Assumptions!$F$93</f>
        <v/>
      </c>
      <c r="D47" s="8">
        <f>Assumptions!$F$93</f>
        <v/>
      </c>
      <c r="E47" s="8">
        <f>Assumptions!$F$93</f>
        <v/>
      </c>
      <c r="F47" s="8">
        <f>Assumptions!$F$93</f>
        <v/>
      </c>
      <c r="G47" s="8">
        <f>Assumptions!$F$93</f>
        <v/>
      </c>
      <c r="H47" s="8">
        <f>Assumptions!$F$93</f>
        <v/>
      </c>
      <c r="I47" s="8">
        <f>Assumptions!$F$93</f>
        <v/>
      </c>
      <c r="J47" s="8">
        <f>Assumptions!$F$93</f>
        <v/>
      </c>
      <c r="K47" s="8">
        <f>Assumptions!$F$93</f>
        <v/>
      </c>
      <c r="L47" s="8">
        <f>Assumptions!$F$93</f>
        <v/>
      </c>
      <c r="M47" s="8">
        <f>Assumptions!$F$93</f>
        <v/>
      </c>
      <c r="N47" s="8">
        <f>Assumptions!$F$93</f>
        <v/>
      </c>
      <c r="O47" s="8">
        <f>Assumptions!$F$93</f>
        <v/>
      </c>
      <c r="P47" s="8">
        <f>Assumptions!$F$93</f>
        <v/>
      </c>
      <c r="Q47" s="8">
        <f>Assumptions!$F$93</f>
        <v/>
      </c>
      <c r="R47" s="8">
        <f>Assumptions!$F$93</f>
        <v/>
      </c>
      <c r="S47" s="8">
        <f>Assumptions!$F$93</f>
        <v/>
      </c>
      <c r="T47" s="8">
        <f>Assumptions!$F$93</f>
        <v/>
      </c>
      <c r="U47" s="8">
        <f>Assumptions!$F$93</f>
        <v/>
      </c>
      <c r="V47" s="8">
        <f>Assumptions!$F$93</f>
        <v/>
      </c>
      <c r="W47" s="8">
        <f>Assumptions!$F$93</f>
        <v/>
      </c>
      <c r="X47" s="8">
        <f>Assumptions!$F$93</f>
        <v/>
      </c>
      <c r="Y47" s="8">
        <f>Assumptions!$F$93</f>
        <v/>
      </c>
      <c r="Z47" s="8">
        <f>Assumptions!$F$93</f>
        <v/>
      </c>
      <c r="AA47" s="8">
        <f>Assumptions!$F$93</f>
        <v/>
      </c>
      <c r="AB47" s="8">
        <f>Assumptions!$F$93</f>
        <v/>
      </c>
      <c r="AC47" s="8">
        <f>Assumptions!$F$93</f>
        <v/>
      </c>
      <c r="AD47" s="8">
        <f>Assumptions!$F$93</f>
        <v/>
      </c>
      <c r="AE47" s="8">
        <f>Assumptions!$F$93</f>
        <v/>
      </c>
      <c r="AF47" s="8">
        <f>Assumptions!$F$93</f>
        <v/>
      </c>
      <c r="AG47" s="8">
        <f>Assumptions!$F$93</f>
        <v/>
      </c>
      <c r="AH47" s="8">
        <f>Assumptions!$F$93</f>
        <v/>
      </c>
      <c r="AI47" s="8">
        <f>Assumptions!$F$93</f>
        <v/>
      </c>
      <c r="AJ47" s="8">
        <f>Assumptions!$F$93</f>
        <v/>
      </c>
      <c r="AK47" s="8">
        <f>Assumptions!$F$93</f>
        <v/>
      </c>
      <c r="AL47" s="8">
        <f>Assumptions!$F$93</f>
        <v/>
      </c>
    </row>
    <row r="48">
      <c r="B48" s="2" t="inlineStr">
        <is>
          <t>Heating (winter months)</t>
        </is>
      </c>
      <c r="C48" s="8">
        <f>Assumptions!$F$94/SUM(Assumptions!$E$106:$E$117)*INDEX(Assumptions!$E$106:$E$117,C$6)</f>
        <v/>
      </c>
      <c r="D48" s="8">
        <f>Assumptions!$F$94/SUM(Assumptions!$E$106:$E$117)*INDEX(Assumptions!$E$106:$E$117,D$6)</f>
        <v/>
      </c>
      <c r="E48" s="8">
        <f>Assumptions!$F$94/SUM(Assumptions!$E$106:$E$117)*INDEX(Assumptions!$E$106:$E$117,E$6)</f>
        <v/>
      </c>
      <c r="F48" s="8">
        <f>Assumptions!$F$94/SUM(Assumptions!$E$106:$E$117)*INDEX(Assumptions!$E$106:$E$117,F$6)</f>
        <v/>
      </c>
      <c r="G48" s="8">
        <f>Assumptions!$F$94/SUM(Assumptions!$E$106:$E$117)*INDEX(Assumptions!$E$106:$E$117,G$6)</f>
        <v/>
      </c>
      <c r="H48" s="8">
        <f>Assumptions!$F$94/SUM(Assumptions!$E$106:$E$117)*INDEX(Assumptions!$E$106:$E$117,H$6)</f>
        <v/>
      </c>
      <c r="I48" s="8">
        <f>Assumptions!$F$94/SUM(Assumptions!$E$106:$E$117)*INDEX(Assumptions!$E$106:$E$117,I$6)</f>
        <v/>
      </c>
      <c r="J48" s="8">
        <f>Assumptions!$F$94/SUM(Assumptions!$E$106:$E$117)*INDEX(Assumptions!$E$106:$E$117,J$6)</f>
        <v/>
      </c>
      <c r="K48" s="8">
        <f>Assumptions!$F$94/SUM(Assumptions!$E$106:$E$117)*INDEX(Assumptions!$E$106:$E$117,K$6)</f>
        <v/>
      </c>
      <c r="L48" s="8">
        <f>Assumptions!$F$94/SUM(Assumptions!$E$106:$E$117)*INDEX(Assumptions!$E$106:$E$117,L$6)</f>
        <v/>
      </c>
      <c r="M48" s="8">
        <f>Assumptions!$F$94/SUM(Assumptions!$E$106:$E$117)*INDEX(Assumptions!$E$106:$E$117,M$6)</f>
        <v/>
      </c>
      <c r="N48" s="8">
        <f>Assumptions!$F$94/SUM(Assumptions!$E$106:$E$117)*INDEX(Assumptions!$E$106:$E$117,N$6)</f>
        <v/>
      </c>
      <c r="O48" s="8">
        <f>Assumptions!$F$94/SUM(Assumptions!$E$106:$E$117)*INDEX(Assumptions!$E$106:$E$117,O$6)</f>
        <v/>
      </c>
      <c r="P48" s="8">
        <f>Assumptions!$F$94/SUM(Assumptions!$E$106:$E$117)*INDEX(Assumptions!$E$106:$E$117,P$6)</f>
        <v/>
      </c>
      <c r="Q48" s="8">
        <f>Assumptions!$F$94/SUM(Assumptions!$E$106:$E$117)*INDEX(Assumptions!$E$106:$E$117,Q$6)</f>
        <v/>
      </c>
      <c r="R48" s="8">
        <f>Assumptions!$F$94/SUM(Assumptions!$E$106:$E$117)*INDEX(Assumptions!$E$106:$E$117,R$6)</f>
        <v/>
      </c>
      <c r="S48" s="8">
        <f>Assumptions!$F$94/SUM(Assumptions!$E$106:$E$117)*INDEX(Assumptions!$E$106:$E$117,S$6)</f>
        <v/>
      </c>
      <c r="T48" s="8">
        <f>Assumptions!$F$94/SUM(Assumptions!$E$106:$E$117)*INDEX(Assumptions!$E$106:$E$117,T$6)</f>
        <v/>
      </c>
      <c r="U48" s="8">
        <f>Assumptions!$F$94/SUM(Assumptions!$E$106:$E$117)*INDEX(Assumptions!$E$106:$E$117,U$6)</f>
        <v/>
      </c>
      <c r="V48" s="8">
        <f>Assumptions!$F$94/SUM(Assumptions!$E$106:$E$117)*INDEX(Assumptions!$E$106:$E$117,V$6)</f>
        <v/>
      </c>
      <c r="W48" s="8">
        <f>Assumptions!$F$94/SUM(Assumptions!$E$106:$E$117)*INDEX(Assumptions!$E$106:$E$117,W$6)</f>
        <v/>
      </c>
      <c r="X48" s="8">
        <f>Assumptions!$F$94/SUM(Assumptions!$E$106:$E$117)*INDEX(Assumptions!$E$106:$E$117,X$6)</f>
        <v/>
      </c>
      <c r="Y48" s="8">
        <f>Assumptions!$F$94/SUM(Assumptions!$E$106:$E$117)*INDEX(Assumptions!$E$106:$E$117,Y$6)</f>
        <v/>
      </c>
      <c r="Z48" s="8">
        <f>Assumptions!$F$94/SUM(Assumptions!$E$106:$E$117)*INDEX(Assumptions!$E$106:$E$117,Z$6)</f>
        <v/>
      </c>
      <c r="AA48" s="8">
        <f>Assumptions!$F$94/SUM(Assumptions!$E$106:$E$117)*INDEX(Assumptions!$E$106:$E$117,AA$6)</f>
        <v/>
      </c>
      <c r="AB48" s="8">
        <f>Assumptions!$F$94/SUM(Assumptions!$E$106:$E$117)*INDEX(Assumptions!$E$106:$E$117,AB$6)</f>
        <v/>
      </c>
      <c r="AC48" s="8">
        <f>Assumptions!$F$94/SUM(Assumptions!$E$106:$E$117)*INDEX(Assumptions!$E$106:$E$117,AC$6)</f>
        <v/>
      </c>
      <c r="AD48" s="8">
        <f>Assumptions!$F$94/SUM(Assumptions!$E$106:$E$117)*INDEX(Assumptions!$E$106:$E$117,AD$6)</f>
        <v/>
      </c>
      <c r="AE48" s="8">
        <f>Assumptions!$F$94/SUM(Assumptions!$E$106:$E$117)*INDEX(Assumptions!$E$106:$E$117,AE$6)</f>
        <v/>
      </c>
      <c r="AF48" s="8">
        <f>Assumptions!$F$94/SUM(Assumptions!$E$106:$E$117)*INDEX(Assumptions!$E$106:$E$117,AF$6)</f>
        <v/>
      </c>
      <c r="AG48" s="8">
        <f>Assumptions!$F$94/SUM(Assumptions!$E$106:$E$117)*INDEX(Assumptions!$E$106:$E$117,AG$6)</f>
        <v/>
      </c>
      <c r="AH48" s="8">
        <f>Assumptions!$F$94/SUM(Assumptions!$E$106:$E$117)*INDEX(Assumptions!$E$106:$E$117,AH$6)</f>
        <v/>
      </c>
      <c r="AI48" s="8">
        <f>Assumptions!$F$94/SUM(Assumptions!$E$106:$E$117)*INDEX(Assumptions!$E$106:$E$117,AI$6)</f>
        <v/>
      </c>
      <c r="AJ48" s="8">
        <f>Assumptions!$F$94/SUM(Assumptions!$E$106:$E$117)*INDEX(Assumptions!$E$106:$E$117,AJ$6)</f>
        <v/>
      </c>
      <c r="AK48" s="8">
        <f>Assumptions!$F$94/SUM(Assumptions!$E$106:$E$117)*INDEX(Assumptions!$E$106:$E$117,AK$6)</f>
        <v/>
      </c>
      <c r="AL48" s="8">
        <f>Assumptions!$F$94/SUM(Assumptions!$E$106:$E$117)*INDEX(Assumptions!$E$106:$E$117,AL$6)</f>
        <v/>
      </c>
    </row>
    <row r="49">
      <c r="B49" s="2" t="inlineStr">
        <is>
          <t>Rent to the school</t>
        </is>
      </c>
      <c r="C49" s="8">
        <f>Assumptions!$F$95</f>
        <v/>
      </c>
      <c r="D49" s="8">
        <f>Assumptions!$F$95</f>
        <v/>
      </c>
      <c r="E49" s="8">
        <f>Assumptions!$F$95</f>
        <v/>
      </c>
      <c r="F49" s="8">
        <f>Assumptions!$F$95</f>
        <v/>
      </c>
      <c r="G49" s="8">
        <f>Assumptions!$F$95</f>
        <v/>
      </c>
      <c r="H49" s="8">
        <f>Assumptions!$F$95</f>
        <v/>
      </c>
      <c r="I49" s="8">
        <f>Assumptions!$F$95</f>
        <v/>
      </c>
      <c r="J49" s="8">
        <f>Assumptions!$F$95</f>
        <v/>
      </c>
      <c r="K49" s="8">
        <f>Assumptions!$F$95</f>
        <v/>
      </c>
      <c r="L49" s="8">
        <f>Assumptions!$F$95</f>
        <v/>
      </c>
      <c r="M49" s="8">
        <f>Assumptions!$F$95</f>
        <v/>
      </c>
      <c r="N49" s="8">
        <f>Assumptions!$F$95</f>
        <v/>
      </c>
      <c r="O49" s="8">
        <f>Assumptions!$F$95</f>
        <v/>
      </c>
      <c r="P49" s="8">
        <f>Assumptions!$F$95</f>
        <v/>
      </c>
      <c r="Q49" s="8">
        <f>Assumptions!$F$95</f>
        <v/>
      </c>
      <c r="R49" s="8">
        <f>Assumptions!$F$95</f>
        <v/>
      </c>
      <c r="S49" s="8">
        <f>Assumptions!$F$95</f>
        <v/>
      </c>
      <c r="T49" s="8">
        <f>Assumptions!$F$95</f>
        <v/>
      </c>
      <c r="U49" s="8">
        <f>Assumptions!$F$95</f>
        <v/>
      </c>
      <c r="V49" s="8">
        <f>Assumptions!$F$95</f>
        <v/>
      </c>
      <c r="W49" s="8">
        <f>Assumptions!$F$95</f>
        <v/>
      </c>
      <c r="X49" s="8">
        <f>Assumptions!$F$95</f>
        <v/>
      </c>
      <c r="Y49" s="8">
        <f>Assumptions!$F$95</f>
        <v/>
      </c>
      <c r="Z49" s="8">
        <f>Assumptions!$F$95</f>
        <v/>
      </c>
      <c r="AA49" s="8">
        <f>Assumptions!$F$95</f>
        <v/>
      </c>
      <c r="AB49" s="8">
        <f>Assumptions!$F$95</f>
        <v/>
      </c>
      <c r="AC49" s="8">
        <f>Assumptions!$F$95</f>
        <v/>
      </c>
      <c r="AD49" s="8">
        <f>Assumptions!$F$95</f>
        <v/>
      </c>
      <c r="AE49" s="8">
        <f>Assumptions!$F$95</f>
        <v/>
      </c>
      <c r="AF49" s="8">
        <f>Assumptions!$F$95</f>
        <v/>
      </c>
      <c r="AG49" s="8">
        <f>Assumptions!$F$95</f>
        <v/>
      </c>
      <c r="AH49" s="8">
        <f>Assumptions!$F$95</f>
        <v/>
      </c>
      <c r="AI49" s="8">
        <f>Assumptions!$F$95</f>
        <v/>
      </c>
      <c r="AJ49" s="8">
        <f>Assumptions!$F$95</f>
        <v/>
      </c>
      <c r="AK49" s="8">
        <f>Assumptions!$F$95</f>
        <v/>
      </c>
      <c r="AL49" s="8">
        <f>Assumptions!$F$95</f>
        <v/>
      </c>
    </row>
    <row r="50">
      <c r="B50" s="2" t="inlineStr">
        <is>
          <t>Marketing</t>
        </is>
      </c>
      <c r="C50" s="8">
        <f>Assumptions!$F$96</f>
        <v/>
      </c>
      <c r="D50" s="8">
        <f>Assumptions!$F$96</f>
        <v/>
      </c>
      <c r="E50" s="8">
        <f>Assumptions!$F$96</f>
        <v/>
      </c>
      <c r="F50" s="8">
        <f>Assumptions!$F$96</f>
        <v/>
      </c>
      <c r="G50" s="8">
        <f>Assumptions!$F$96</f>
        <v/>
      </c>
      <c r="H50" s="8">
        <f>Assumptions!$F$96</f>
        <v/>
      </c>
      <c r="I50" s="8">
        <f>Assumptions!$F$96</f>
        <v/>
      </c>
      <c r="J50" s="8">
        <f>Assumptions!$F$96</f>
        <v/>
      </c>
      <c r="K50" s="8">
        <f>Assumptions!$F$96</f>
        <v/>
      </c>
      <c r="L50" s="8">
        <f>Assumptions!$F$96</f>
        <v/>
      </c>
      <c r="M50" s="8">
        <f>Assumptions!$F$96</f>
        <v/>
      </c>
      <c r="N50" s="8">
        <f>Assumptions!$F$96</f>
        <v/>
      </c>
      <c r="O50" s="8">
        <f>Assumptions!$F$96</f>
        <v/>
      </c>
      <c r="P50" s="8">
        <f>Assumptions!$F$96</f>
        <v/>
      </c>
      <c r="Q50" s="8">
        <f>Assumptions!$F$96</f>
        <v/>
      </c>
      <c r="R50" s="8">
        <f>Assumptions!$F$96</f>
        <v/>
      </c>
      <c r="S50" s="8">
        <f>Assumptions!$F$96</f>
        <v/>
      </c>
      <c r="T50" s="8">
        <f>Assumptions!$F$96</f>
        <v/>
      </c>
      <c r="U50" s="8">
        <f>Assumptions!$F$96</f>
        <v/>
      </c>
      <c r="V50" s="8">
        <f>Assumptions!$F$96</f>
        <v/>
      </c>
      <c r="W50" s="8">
        <f>Assumptions!$F$96</f>
        <v/>
      </c>
      <c r="X50" s="8">
        <f>Assumptions!$F$96</f>
        <v/>
      </c>
      <c r="Y50" s="8">
        <f>Assumptions!$F$96</f>
        <v/>
      </c>
      <c r="Z50" s="8">
        <f>Assumptions!$F$96</f>
        <v/>
      </c>
      <c r="AA50" s="8">
        <f>Assumptions!$F$96</f>
        <v/>
      </c>
      <c r="AB50" s="8">
        <f>Assumptions!$F$96</f>
        <v/>
      </c>
      <c r="AC50" s="8">
        <f>Assumptions!$F$96</f>
        <v/>
      </c>
      <c r="AD50" s="8">
        <f>Assumptions!$F$96</f>
        <v/>
      </c>
      <c r="AE50" s="8">
        <f>Assumptions!$F$96</f>
        <v/>
      </c>
      <c r="AF50" s="8">
        <f>Assumptions!$F$96</f>
        <v/>
      </c>
      <c r="AG50" s="8">
        <f>Assumptions!$F$96</f>
        <v/>
      </c>
      <c r="AH50" s="8">
        <f>Assumptions!$F$96</f>
        <v/>
      </c>
      <c r="AI50" s="8">
        <f>Assumptions!$F$96</f>
        <v/>
      </c>
      <c r="AJ50" s="8">
        <f>Assumptions!$F$96</f>
        <v/>
      </c>
      <c r="AK50" s="8">
        <f>Assumptions!$F$96</f>
        <v/>
      </c>
      <c r="AL50" s="8">
        <f>Assumptions!$F$96</f>
        <v/>
      </c>
    </row>
    <row r="51">
      <c r="B51" s="2" t="inlineStr">
        <is>
          <t>Admin and systems</t>
        </is>
      </c>
      <c r="C51" s="8">
        <f>Assumptions!$F$97</f>
        <v/>
      </c>
      <c r="D51" s="8">
        <f>Assumptions!$F$97</f>
        <v/>
      </c>
      <c r="E51" s="8">
        <f>Assumptions!$F$97</f>
        <v/>
      </c>
      <c r="F51" s="8">
        <f>Assumptions!$F$97</f>
        <v/>
      </c>
      <c r="G51" s="8">
        <f>Assumptions!$F$97</f>
        <v/>
      </c>
      <c r="H51" s="8">
        <f>Assumptions!$F$97</f>
        <v/>
      </c>
      <c r="I51" s="8">
        <f>Assumptions!$F$97</f>
        <v/>
      </c>
      <c r="J51" s="8">
        <f>Assumptions!$F$97</f>
        <v/>
      </c>
      <c r="K51" s="8">
        <f>Assumptions!$F$97</f>
        <v/>
      </c>
      <c r="L51" s="8">
        <f>Assumptions!$F$97</f>
        <v/>
      </c>
      <c r="M51" s="8">
        <f>Assumptions!$F$97</f>
        <v/>
      </c>
      <c r="N51" s="8">
        <f>Assumptions!$F$97</f>
        <v/>
      </c>
      <c r="O51" s="8">
        <f>Assumptions!$F$97</f>
        <v/>
      </c>
      <c r="P51" s="8">
        <f>Assumptions!$F$97</f>
        <v/>
      </c>
      <c r="Q51" s="8">
        <f>Assumptions!$F$97</f>
        <v/>
      </c>
      <c r="R51" s="8">
        <f>Assumptions!$F$97</f>
        <v/>
      </c>
      <c r="S51" s="8">
        <f>Assumptions!$F$97</f>
        <v/>
      </c>
      <c r="T51" s="8">
        <f>Assumptions!$F$97</f>
        <v/>
      </c>
      <c r="U51" s="8">
        <f>Assumptions!$F$97</f>
        <v/>
      </c>
      <c r="V51" s="8">
        <f>Assumptions!$F$97</f>
        <v/>
      </c>
      <c r="W51" s="8">
        <f>Assumptions!$F$97</f>
        <v/>
      </c>
      <c r="X51" s="8">
        <f>Assumptions!$F$97</f>
        <v/>
      </c>
      <c r="Y51" s="8">
        <f>Assumptions!$F$97</f>
        <v/>
      </c>
      <c r="Z51" s="8">
        <f>Assumptions!$F$97</f>
        <v/>
      </c>
      <c r="AA51" s="8">
        <f>Assumptions!$F$97</f>
        <v/>
      </c>
      <c r="AB51" s="8">
        <f>Assumptions!$F$97</f>
        <v/>
      </c>
      <c r="AC51" s="8">
        <f>Assumptions!$F$97</f>
        <v/>
      </c>
      <c r="AD51" s="8">
        <f>Assumptions!$F$97</f>
        <v/>
      </c>
      <c r="AE51" s="8">
        <f>Assumptions!$F$97</f>
        <v/>
      </c>
      <c r="AF51" s="8">
        <f>Assumptions!$F$97</f>
        <v/>
      </c>
      <c r="AG51" s="8">
        <f>Assumptions!$F$97</f>
        <v/>
      </c>
      <c r="AH51" s="8">
        <f>Assumptions!$F$97</f>
        <v/>
      </c>
      <c r="AI51" s="8">
        <f>Assumptions!$F$97</f>
        <v/>
      </c>
      <c r="AJ51" s="8">
        <f>Assumptions!$F$97</f>
        <v/>
      </c>
      <c r="AK51" s="8">
        <f>Assumptions!$F$97</f>
        <v/>
      </c>
      <c r="AL51" s="8">
        <f>Assumptions!$F$97</f>
        <v/>
      </c>
    </row>
    <row r="52">
      <c r="B52" s="2" t="inlineStr">
        <is>
          <t>Kit replacement</t>
        </is>
      </c>
      <c r="C52" s="8">
        <f>Assumptions!$F$98/12</f>
        <v/>
      </c>
      <c r="D52" s="8">
        <f>Assumptions!$F$98/12</f>
        <v/>
      </c>
      <c r="E52" s="8">
        <f>Assumptions!$F$98/12</f>
        <v/>
      </c>
      <c r="F52" s="8">
        <f>Assumptions!$F$98/12</f>
        <v/>
      </c>
      <c r="G52" s="8">
        <f>Assumptions!$F$98/12</f>
        <v/>
      </c>
      <c r="H52" s="8">
        <f>Assumptions!$F$98/12</f>
        <v/>
      </c>
      <c r="I52" s="8">
        <f>Assumptions!$F$98/12</f>
        <v/>
      </c>
      <c r="J52" s="8">
        <f>Assumptions!$F$98/12</f>
        <v/>
      </c>
      <c r="K52" s="8">
        <f>Assumptions!$F$98/12</f>
        <v/>
      </c>
      <c r="L52" s="8">
        <f>Assumptions!$F$98/12</f>
        <v/>
      </c>
      <c r="M52" s="8">
        <f>Assumptions!$F$98/12</f>
        <v/>
      </c>
      <c r="N52" s="8">
        <f>Assumptions!$F$98/12</f>
        <v/>
      </c>
      <c r="O52" s="8">
        <f>Assumptions!$F$98/12</f>
        <v/>
      </c>
      <c r="P52" s="8">
        <f>Assumptions!$F$98/12</f>
        <v/>
      </c>
      <c r="Q52" s="8">
        <f>Assumptions!$F$98/12</f>
        <v/>
      </c>
      <c r="R52" s="8">
        <f>Assumptions!$F$98/12</f>
        <v/>
      </c>
      <c r="S52" s="8">
        <f>Assumptions!$F$98/12</f>
        <v/>
      </c>
      <c r="T52" s="8">
        <f>Assumptions!$F$98/12</f>
        <v/>
      </c>
      <c r="U52" s="8">
        <f>Assumptions!$F$98/12</f>
        <v/>
      </c>
      <c r="V52" s="8">
        <f>Assumptions!$F$98/12</f>
        <v/>
      </c>
      <c r="W52" s="8">
        <f>Assumptions!$F$98/12</f>
        <v/>
      </c>
      <c r="X52" s="8">
        <f>Assumptions!$F$98/12</f>
        <v/>
      </c>
      <c r="Y52" s="8">
        <f>Assumptions!$F$98/12</f>
        <v/>
      </c>
      <c r="Z52" s="8">
        <f>Assumptions!$F$98/12</f>
        <v/>
      </c>
      <c r="AA52" s="8">
        <f>Assumptions!$F$98/12</f>
        <v/>
      </c>
      <c r="AB52" s="8">
        <f>Assumptions!$F$98/12</f>
        <v/>
      </c>
      <c r="AC52" s="8">
        <f>Assumptions!$F$98/12</f>
        <v/>
      </c>
      <c r="AD52" s="8">
        <f>Assumptions!$F$98/12</f>
        <v/>
      </c>
      <c r="AE52" s="8">
        <f>Assumptions!$F$98/12</f>
        <v/>
      </c>
      <c r="AF52" s="8">
        <f>Assumptions!$F$98/12</f>
        <v/>
      </c>
      <c r="AG52" s="8">
        <f>Assumptions!$F$98/12</f>
        <v/>
      </c>
      <c r="AH52" s="8">
        <f>Assumptions!$F$98/12</f>
        <v/>
      </c>
      <c r="AI52" s="8">
        <f>Assumptions!$F$98/12</f>
        <v/>
      </c>
      <c r="AJ52" s="8">
        <f>Assumptions!$F$98/12</f>
        <v/>
      </c>
      <c r="AK52" s="8">
        <f>Assumptions!$F$98/12</f>
        <v/>
      </c>
      <c r="AL52" s="8">
        <f>Assumptions!$F$98/12</f>
        <v/>
      </c>
    </row>
    <row r="53">
      <c r="B53" s="9" t="inlineStr">
        <is>
          <t>Total Arena costs</t>
        </is>
      </c>
      <c r="C53" s="10">
        <f>SUM(C46:C52)</f>
        <v/>
      </c>
      <c r="D53" s="10">
        <f>SUM(D46:D52)</f>
        <v/>
      </c>
      <c r="E53" s="10">
        <f>SUM(E46:E52)</f>
        <v/>
      </c>
      <c r="F53" s="10">
        <f>SUM(F46:F52)</f>
        <v/>
      </c>
      <c r="G53" s="10">
        <f>SUM(G46:G52)</f>
        <v/>
      </c>
      <c r="H53" s="10">
        <f>SUM(H46:H52)</f>
        <v/>
      </c>
      <c r="I53" s="10">
        <f>SUM(I46:I52)</f>
        <v/>
      </c>
      <c r="J53" s="10">
        <f>SUM(J46:J52)</f>
        <v/>
      </c>
      <c r="K53" s="10">
        <f>SUM(K46:K52)</f>
        <v/>
      </c>
      <c r="L53" s="10">
        <f>SUM(L46:L52)</f>
        <v/>
      </c>
      <c r="M53" s="10">
        <f>SUM(M46:M52)</f>
        <v/>
      </c>
      <c r="N53" s="10">
        <f>SUM(N46:N52)</f>
        <v/>
      </c>
      <c r="O53" s="10">
        <f>SUM(O46:O52)</f>
        <v/>
      </c>
      <c r="P53" s="10">
        <f>SUM(P46:P52)</f>
        <v/>
      </c>
      <c r="Q53" s="10">
        <f>SUM(Q46:Q52)</f>
        <v/>
      </c>
      <c r="R53" s="10">
        <f>SUM(R46:R52)</f>
        <v/>
      </c>
      <c r="S53" s="10">
        <f>SUM(S46:S52)</f>
        <v/>
      </c>
      <c r="T53" s="10">
        <f>SUM(T46:T52)</f>
        <v/>
      </c>
      <c r="U53" s="10">
        <f>SUM(U46:U52)</f>
        <v/>
      </c>
      <c r="V53" s="10">
        <f>SUM(V46:V52)</f>
        <v/>
      </c>
      <c r="W53" s="10">
        <f>SUM(W46:W52)</f>
        <v/>
      </c>
      <c r="X53" s="10">
        <f>SUM(X46:X52)</f>
        <v/>
      </c>
      <c r="Y53" s="10">
        <f>SUM(Y46:Y52)</f>
        <v/>
      </c>
      <c r="Z53" s="10">
        <f>SUM(Z46:Z52)</f>
        <v/>
      </c>
      <c r="AA53" s="10">
        <f>SUM(AA46:AA52)</f>
        <v/>
      </c>
      <c r="AB53" s="10">
        <f>SUM(AB46:AB52)</f>
        <v/>
      </c>
      <c r="AC53" s="10">
        <f>SUM(AC46:AC52)</f>
        <v/>
      </c>
      <c r="AD53" s="10">
        <f>SUM(AD46:AD52)</f>
        <v/>
      </c>
      <c r="AE53" s="10">
        <f>SUM(AE46:AE52)</f>
        <v/>
      </c>
      <c r="AF53" s="10">
        <f>SUM(AF46:AF52)</f>
        <v/>
      </c>
      <c r="AG53" s="10">
        <f>SUM(AG46:AG52)</f>
        <v/>
      </c>
      <c r="AH53" s="10">
        <f>SUM(AH46:AH52)</f>
        <v/>
      </c>
      <c r="AI53" s="10">
        <f>SUM(AI46:AI52)</f>
        <v/>
      </c>
      <c r="AJ53" s="10">
        <f>SUM(AJ46:AJ52)</f>
        <v/>
      </c>
      <c r="AK53" s="10">
        <f>SUM(AK46:AK52)</f>
        <v/>
      </c>
      <c r="AL53" s="10">
        <f>SUM(AL46:AL52)</f>
        <v/>
      </c>
    </row>
    <row r="55">
      <c r="B55" s="11" t="inlineStr">
        <is>
          <t>SITE PROFIT (before central overheads)</t>
        </is>
      </c>
      <c r="C55" s="12">
        <f>C43-C53</f>
        <v/>
      </c>
      <c r="D55" s="12">
        <f>D43-D53</f>
        <v/>
      </c>
      <c r="E55" s="12">
        <f>E43-E53</f>
        <v/>
      </c>
      <c r="F55" s="12">
        <f>F43-F53</f>
        <v/>
      </c>
      <c r="G55" s="12">
        <f>G43-G53</f>
        <v/>
      </c>
      <c r="H55" s="12">
        <f>H43-H53</f>
        <v/>
      </c>
      <c r="I55" s="12">
        <f>I43-I53</f>
        <v/>
      </c>
      <c r="J55" s="12">
        <f>J43-J53</f>
        <v/>
      </c>
      <c r="K55" s="12">
        <f>K43-K53</f>
        <v/>
      </c>
      <c r="L55" s="12">
        <f>L43-L53</f>
        <v/>
      </c>
      <c r="M55" s="12">
        <f>M43-M53</f>
        <v/>
      </c>
      <c r="N55" s="12">
        <f>N43-N53</f>
        <v/>
      </c>
      <c r="O55" s="12">
        <f>O43-O53</f>
        <v/>
      </c>
      <c r="P55" s="12">
        <f>P43-P53</f>
        <v/>
      </c>
      <c r="Q55" s="12">
        <f>Q43-Q53</f>
        <v/>
      </c>
      <c r="R55" s="12">
        <f>R43-R53</f>
        <v/>
      </c>
      <c r="S55" s="12">
        <f>S43-S53</f>
        <v/>
      </c>
      <c r="T55" s="12">
        <f>T43-T53</f>
        <v/>
      </c>
      <c r="U55" s="12">
        <f>U43-U53</f>
        <v/>
      </c>
      <c r="V55" s="12">
        <f>V43-V53</f>
        <v/>
      </c>
      <c r="W55" s="12">
        <f>W43-W53</f>
        <v/>
      </c>
      <c r="X55" s="12">
        <f>X43-X53</f>
        <v/>
      </c>
      <c r="Y55" s="12">
        <f>Y43-Y53</f>
        <v/>
      </c>
      <c r="Z55" s="12">
        <f>Z43-Z53</f>
        <v/>
      </c>
      <c r="AA55" s="12">
        <f>AA43-AA53</f>
        <v/>
      </c>
      <c r="AB55" s="12">
        <f>AB43-AB53</f>
        <v/>
      </c>
      <c r="AC55" s="12">
        <f>AC43-AC53</f>
        <v/>
      </c>
      <c r="AD55" s="12">
        <f>AD43-AD53</f>
        <v/>
      </c>
      <c r="AE55" s="12">
        <f>AE43-AE53</f>
        <v/>
      </c>
      <c r="AF55" s="12">
        <f>AF43-AF53</f>
        <v/>
      </c>
      <c r="AG55" s="12">
        <f>AG43-AG53</f>
        <v/>
      </c>
      <c r="AH55" s="12">
        <f>AH43-AH53</f>
        <v/>
      </c>
      <c r="AI55" s="12">
        <f>AI43-AI53</f>
        <v/>
      </c>
      <c r="AJ55" s="12">
        <f>AJ43-AJ53</f>
        <v/>
      </c>
      <c r="AK55" s="12">
        <f>AK43-AK53</f>
        <v/>
      </c>
      <c r="AL55" s="12">
        <f>AL43-AL53</f>
        <v/>
      </c>
    </row>
    <row r="56">
      <c r="B56" s="2" t="inlineStr">
        <is>
          <t>Cumulative site profit</t>
        </is>
      </c>
      <c r="C56" s="8">
        <f>C55</f>
        <v/>
      </c>
      <c r="D56" s="8">
        <f>C56+D55</f>
        <v/>
      </c>
      <c r="E56" s="8">
        <f>D56+E55</f>
        <v/>
      </c>
      <c r="F56" s="8">
        <f>E56+F55</f>
        <v/>
      </c>
      <c r="G56" s="8">
        <f>F56+G55</f>
        <v/>
      </c>
      <c r="H56" s="8">
        <f>G56+H55</f>
        <v/>
      </c>
      <c r="I56" s="8">
        <f>H56+I55</f>
        <v/>
      </c>
      <c r="J56" s="8">
        <f>I56+J55</f>
        <v/>
      </c>
      <c r="K56" s="8">
        <f>J56+K55</f>
        <v/>
      </c>
      <c r="L56" s="8">
        <f>K56+L55</f>
        <v/>
      </c>
      <c r="M56" s="8">
        <f>L56+M55</f>
        <v/>
      </c>
      <c r="N56" s="8">
        <f>M56+N55</f>
        <v/>
      </c>
      <c r="O56" s="8">
        <f>N56+O55</f>
        <v/>
      </c>
      <c r="P56" s="8">
        <f>O56+P55</f>
        <v/>
      </c>
      <c r="Q56" s="8">
        <f>P56+Q55</f>
        <v/>
      </c>
      <c r="R56" s="8">
        <f>Q56+R55</f>
        <v/>
      </c>
      <c r="S56" s="8">
        <f>R56+S55</f>
        <v/>
      </c>
      <c r="T56" s="8">
        <f>S56+T55</f>
        <v/>
      </c>
      <c r="U56" s="8">
        <f>T56+U55</f>
        <v/>
      </c>
      <c r="V56" s="8">
        <f>U56+V55</f>
        <v/>
      </c>
      <c r="W56" s="8">
        <f>V56+W55</f>
        <v/>
      </c>
      <c r="X56" s="8">
        <f>W56+X55</f>
        <v/>
      </c>
      <c r="Y56" s="8">
        <f>X56+Y55</f>
        <v/>
      </c>
      <c r="Z56" s="8">
        <f>Y56+Z55</f>
        <v/>
      </c>
      <c r="AA56" s="8">
        <f>Z56+AA55</f>
        <v/>
      </c>
      <c r="AB56" s="8">
        <f>AA56+AB55</f>
        <v/>
      </c>
      <c r="AC56" s="8">
        <f>AB56+AC55</f>
        <v/>
      </c>
      <c r="AD56" s="8">
        <f>AC56+AD55</f>
        <v/>
      </c>
      <c r="AE56" s="8">
        <f>AD56+AE55</f>
        <v/>
      </c>
      <c r="AF56" s="8">
        <f>AE56+AF55</f>
        <v/>
      </c>
      <c r="AG56" s="8">
        <f>AF56+AG55</f>
        <v/>
      </c>
      <c r="AH56" s="8">
        <f>AG56+AH55</f>
        <v/>
      </c>
      <c r="AI56" s="8">
        <f>AH56+AI55</f>
        <v/>
      </c>
      <c r="AJ56" s="8">
        <f>AI56+AJ55</f>
        <v/>
      </c>
      <c r="AK56" s="8">
        <f>AJ56+AK55</f>
        <v/>
      </c>
      <c r="AL56" s="8">
        <f>AK56+AL55</f>
        <v/>
      </c>
    </row>
    <row r="58">
      <c r="B58" s="15" t="inlineStr">
        <is>
          <t>CAPACITY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</row>
    <row r="59">
      <c r="B59" s="2" t="inlineStr">
        <is>
          <t>Court hours used a week (classes, community, leagues, parties)</t>
        </is>
      </c>
      <c r="C59" s="33">
        <f>C13+Assumptions!$F$86+Assumptions!$F$77*(CHOOSE(C$5,Assumptions!$F$74,Assumptions!$F$75,Assumptions!$F$76)&gt;0)+CHOOSE(C$5,Assumptions!$F$32,Assumptions!$F$33,Assumptions!$F$34)*Assumptions!$F$37</f>
        <v/>
      </c>
      <c r="D59" s="33">
        <f>D13+Assumptions!$F$86+Assumptions!$F$77*(CHOOSE(D$5,Assumptions!$F$74,Assumptions!$F$75,Assumptions!$F$76)&gt;0)+CHOOSE(D$5,Assumptions!$F$32,Assumptions!$F$33,Assumptions!$F$34)*Assumptions!$F$37</f>
        <v/>
      </c>
      <c r="E59" s="33">
        <f>E13+Assumptions!$F$86+Assumptions!$F$77*(CHOOSE(E$5,Assumptions!$F$74,Assumptions!$F$75,Assumptions!$F$76)&gt;0)+CHOOSE(E$5,Assumptions!$F$32,Assumptions!$F$33,Assumptions!$F$34)*Assumptions!$F$37</f>
        <v/>
      </c>
      <c r="F59" s="33">
        <f>F13+Assumptions!$F$86+Assumptions!$F$77*(CHOOSE(F$5,Assumptions!$F$74,Assumptions!$F$75,Assumptions!$F$76)&gt;0)+CHOOSE(F$5,Assumptions!$F$32,Assumptions!$F$33,Assumptions!$F$34)*Assumptions!$F$37</f>
        <v/>
      </c>
      <c r="G59" s="33">
        <f>G13+Assumptions!$F$86+Assumptions!$F$77*(CHOOSE(G$5,Assumptions!$F$74,Assumptions!$F$75,Assumptions!$F$76)&gt;0)+CHOOSE(G$5,Assumptions!$F$32,Assumptions!$F$33,Assumptions!$F$34)*Assumptions!$F$37</f>
        <v/>
      </c>
      <c r="H59" s="33">
        <f>H13+Assumptions!$F$86+Assumptions!$F$77*(CHOOSE(H$5,Assumptions!$F$74,Assumptions!$F$75,Assumptions!$F$76)&gt;0)+CHOOSE(H$5,Assumptions!$F$32,Assumptions!$F$33,Assumptions!$F$34)*Assumptions!$F$37</f>
        <v/>
      </c>
      <c r="I59" s="33">
        <f>I13+Assumptions!$F$86+Assumptions!$F$77*(CHOOSE(I$5,Assumptions!$F$74,Assumptions!$F$75,Assumptions!$F$76)&gt;0)+CHOOSE(I$5,Assumptions!$F$32,Assumptions!$F$33,Assumptions!$F$34)*Assumptions!$F$37</f>
        <v/>
      </c>
      <c r="J59" s="33">
        <f>J13+Assumptions!$F$86+Assumptions!$F$77*(CHOOSE(J$5,Assumptions!$F$74,Assumptions!$F$75,Assumptions!$F$76)&gt;0)+CHOOSE(J$5,Assumptions!$F$32,Assumptions!$F$33,Assumptions!$F$34)*Assumptions!$F$37</f>
        <v/>
      </c>
      <c r="K59" s="33">
        <f>K13+Assumptions!$F$86+Assumptions!$F$77*(CHOOSE(K$5,Assumptions!$F$74,Assumptions!$F$75,Assumptions!$F$76)&gt;0)+CHOOSE(K$5,Assumptions!$F$32,Assumptions!$F$33,Assumptions!$F$34)*Assumptions!$F$37</f>
        <v/>
      </c>
      <c r="L59" s="33">
        <f>L13+Assumptions!$F$86+Assumptions!$F$77*(CHOOSE(L$5,Assumptions!$F$74,Assumptions!$F$75,Assumptions!$F$76)&gt;0)+CHOOSE(L$5,Assumptions!$F$32,Assumptions!$F$33,Assumptions!$F$34)*Assumptions!$F$37</f>
        <v/>
      </c>
      <c r="M59" s="33">
        <f>M13+Assumptions!$F$86+Assumptions!$F$77*(CHOOSE(M$5,Assumptions!$F$74,Assumptions!$F$75,Assumptions!$F$76)&gt;0)+CHOOSE(M$5,Assumptions!$F$32,Assumptions!$F$33,Assumptions!$F$34)*Assumptions!$F$37</f>
        <v/>
      </c>
      <c r="N59" s="33">
        <f>N13+Assumptions!$F$86+Assumptions!$F$77*(CHOOSE(N$5,Assumptions!$F$74,Assumptions!$F$75,Assumptions!$F$76)&gt;0)+CHOOSE(N$5,Assumptions!$F$32,Assumptions!$F$33,Assumptions!$F$34)*Assumptions!$F$37</f>
        <v/>
      </c>
      <c r="O59" s="33">
        <f>O13+Assumptions!$F$86+Assumptions!$F$77*(CHOOSE(O$5,Assumptions!$F$74,Assumptions!$F$75,Assumptions!$F$76)&gt;0)+CHOOSE(O$5,Assumptions!$F$32,Assumptions!$F$33,Assumptions!$F$34)*Assumptions!$F$37</f>
        <v/>
      </c>
      <c r="P59" s="33">
        <f>P13+Assumptions!$F$86+Assumptions!$F$77*(CHOOSE(P$5,Assumptions!$F$74,Assumptions!$F$75,Assumptions!$F$76)&gt;0)+CHOOSE(P$5,Assumptions!$F$32,Assumptions!$F$33,Assumptions!$F$34)*Assumptions!$F$37</f>
        <v/>
      </c>
      <c r="Q59" s="33">
        <f>Q13+Assumptions!$F$86+Assumptions!$F$77*(CHOOSE(Q$5,Assumptions!$F$74,Assumptions!$F$75,Assumptions!$F$76)&gt;0)+CHOOSE(Q$5,Assumptions!$F$32,Assumptions!$F$33,Assumptions!$F$34)*Assumptions!$F$37</f>
        <v/>
      </c>
      <c r="R59" s="33">
        <f>R13+Assumptions!$F$86+Assumptions!$F$77*(CHOOSE(R$5,Assumptions!$F$74,Assumptions!$F$75,Assumptions!$F$76)&gt;0)+CHOOSE(R$5,Assumptions!$F$32,Assumptions!$F$33,Assumptions!$F$34)*Assumptions!$F$37</f>
        <v/>
      </c>
      <c r="S59" s="33">
        <f>S13+Assumptions!$F$86+Assumptions!$F$77*(CHOOSE(S$5,Assumptions!$F$74,Assumptions!$F$75,Assumptions!$F$76)&gt;0)+CHOOSE(S$5,Assumptions!$F$32,Assumptions!$F$33,Assumptions!$F$34)*Assumptions!$F$37</f>
        <v/>
      </c>
      <c r="T59" s="33">
        <f>T13+Assumptions!$F$86+Assumptions!$F$77*(CHOOSE(T$5,Assumptions!$F$74,Assumptions!$F$75,Assumptions!$F$76)&gt;0)+CHOOSE(T$5,Assumptions!$F$32,Assumptions!$F$33,Assumptions!$F$34)*Assumptions!$F$37</f>
        <v/>
      </c>
      <c r="U59" s="33">
        <f>U13+Assumptions!$F$86+Assumptions!$F$77*(CHOOSE(U$5,Assumptions!$F$74,Assumptions!$F$75,Assumptions!$F$76)&gt;0)+CHOOSE(U$5,Assumptions!$F$32,Assumptions!$F$33,Assumptions!$F$34)*Assumptions!$F$37</f>
        <v/>
      </c>
      <c r="V59" s="33">
        <f>V13+Assumptions!$F$86+Assumptions!$F$77*(CHOOSE(V$5,Assumptions!$F$74,Assumptions!$F$75,Assumptions!$F$76)&gt;0)+CHOOSE(V$5,Assumptions!$F$32,Assumptions!$F$33,Assumptions!$F$34)*Assumptions!$F$37</f>
        <v/>
      </c>
      <c r="W59" s="33">
        <f>W13+Assumptions!$F$86+Assumptions!$F$77*(CHOOSE(W$5,Assumptions!$F$74,Assumptions!$F$75,Assumptions!$F$76)&gt;0)+CHOOSE(W$5,Assumptions!$F$32,Assumptions!$F$33,Assumptions!$F$34)*Assumptions!$F$37</f>
        <v/>
      </c>
      <c r="X59" s="33">
        <f>X13+Assumptions!$F$86+Assumptions!$F$77*(CHOOSE(X$5,Assumptions!$F$74,Assumptions!$F$75,Assumptions!$F$76)&gt;0)+CHOOSE(X$5,Assumptions!$F$32,Assumptions!$F$33,Assumptions!$F$34)*Assumptions!$F$37</f>
        <v/>
      </c>
      <c r="Y59" s="33">
        <f>Y13+Assumptions!$F$86+Assumptions!$F$77*(CHOOSE(Y$5,Assumptions!$F$74,Assumptions!$F$75,Assumptions!$F$76)&gt;0)+CHOOSE(Y$5,Assumptions!$F$32,Assumptions!$F$33,Assumptions!$F$34)*Assumptions!$F$37</f>
        <v/>
      </c>
      <c r="Z59" s="33">
        <f>Z13+Assumptions!$F$86+Assumptions!$F$77*(CHOOSE(Z$5,Assumptions!$F$74,Assumptions!$F$75,Assumptions!$F$76)&gt;0)+CHOOSE(Z$5,Assumptions!$F$32,Assumptions!$F$33,Assumptions!$F$34)*Assumptions!$F$37</f>
        <v/>
      </c>
      <c r="AA59" s="33">
        <f>AA13+Assumptions!$F$86+Assumptions!$F$77*(CHOOSE(AA$5,Assumptions!$F$74,Assumptions!$F$75,Assumptions!$F$76)&gt;0)+CHOOSE(AA$5,Assumptions!$F$32,Assumptions!$F$33,Assumptions!$F$34)*Assumptions!$F$37</f>
        <v/>
      </c>
      <c r="AB59" s="33">
        <f>AB13+Assumptions!$F$86+Assumptions!$F$77*(CHOOSE(AB$5,Assumptions!$F$74,Assumptions!$F$75,Assumptions!$F$76)&gt;0)+CHOOSE(AB$5,Assumptions!$F$32,Assumptions!$F$33,Assumptions!$F$34)*Assumptions!$F$37</f>
        <v/>
      </c>
      <c r="AC59" s="33">
        <f>AC13+Assumptions!$F$86+Assumptions!$F$77*(CHOOSE(AC$5,Assumptions!$F$74,Assumptions!$F$75,Assumptions!$F$76)&gt;0)+CHOOSE(AC$5,Assumptions!$F$32,Assumptions!$F$33,Assumptions!$F$34)*Assumptions!$F$37</f>
        <v/>
      </c>
      <c r="AD59" s="33">
        <f>AD13+Assumptions!$F$86+Assumptions!$F$77*(CHOOSE(AD$5,Assumptions!$F$74,Assumptions!$F$75,Assumptions!$F$76)&gt;0)+CHOOSE(AD$5,Assumptions!$F$32,Assumptions!$F$33,Assumptions!$F$34)*Assumptions!$F$37</f>
        <v/>
      </c>
      <c r="AE59" s="33">
        <f>AE13+Assumptions!$F$86+Assumptions!$F$77*(CHOOSE(AE$5,Assumptions!$F$74,Assumptions!$F$75,Assumptions!$F$76)&gt;0)+CHOOSE(AE$5,Assumptions!$F$32,Assumptions!$F$33,Assumptions!$F$34)*Assumptions!$F$37</f>
        <v/>
      </c>
      <c r="AF59" s="33">
        <f>AF13+Assumptions!$F$86+Assumptions!$F$77*(CHOOSE(AF$5,Assumptions!$F$74,Assumptions!$F$75,Assumptions!$F$76)&gt;0)+CHOOSE(AF$5,Assumptions!$F$32,Assumptions!$F$33,Assumptions!$F$34)*Assumptions!$F$37</f>
        <v/>
      </c>
      <c r="AG59" s="33">
        <f>AG13+Assumptions!$F$86+Assumptions!$F$77*(CHOOSE(AG$5,Assumptions!$F$74,Assumptions!$F$75,Assumptions!$F$76)&gt;0)+CHOOSE(AG$5,Assumptions!$F$32,Assumptions!$F$33,Assumptions!$F$34)*Assumptions!$F$37</f>
        <v/>
      </c>
      <c r="AH59" s="33">
        <f>AH13+Assumptions!$F$86+Assumptions!$F$77*(CHOOSE(AH$5,Assumptions!$F$74,Assumptions!$F$75,Assumptions!$F$76)&gt;0)+CHOOSE(AH$5,Assumptions!$F$32,Assumptions!$F$33,Assumptions!$F$34)*Assumptions!$F$37</f>
        <v/>
      </c>
      <c r="AI59" s="33">
        <f>AI13+Assumptions!$F$86+Assumptions!$F$77*(CHOOSE(AI$5,Assumptions!$F$74,Assumptions!$F$75,Assumptions!$F$76)&gt;0)+CHOOSE(AI$5,Assumptions!$F$32,Assumptions!$F$33,Assumptions!$F$34)*Assumptions!$F$37</f>
        <v/>
      </c>
      <c r="AJ59" s="33">
        <f>AJ13+Assumptions!$F$86+Assumptions!$F$77*(CHOOSE(AJ$5,Assumptions!$F$74,Assumptions!$F$75,Assumptions!$F$76)&gt;0)+CHOOSE(AJ$5,Assumptions!$F$32,Assumptions!$F$33,Assumptions!$F$34)*Assumptions!$F$37</f>
        <v/>
      </c>
      <c r="AK59" s="33">
        <f>AK13+Assumptions!$F$86+Assumptions!$F$77*(CHOOSE(AK$5,Assumptions!$F$74,Assumptions!$F$75,Assumptions!$F$76)&gt;0)+CHOOSE(AK$5,Assumptions!$F$32,Assumptions!$F$33,Assumptions!$F$34)*Assumptions!$F$37</f>
        <v/>
      </c>
      <c r="AL59" s="33">
        <f>AL13+Assumptions!$F$86+Assumptions!$F$77*(CHOOSE(AL$5,Assumptions!$F$74,Assumptions!$F$75,Assumptions!$F$76)&gt;0)+CHOOSE(AL$5,Assumptions!$F$32,Assumptions!$F$33,Assumptions!$F$34)*Assumptions!$F$37</f>
        <v/>
      </c>
    </row>
    <row r="60">
      <c r="B60" s="2" t="inlineStr">
        <is>
          <t>Share of usable court hours</t>
        </is>
      </c>
      <c r="C60" s="7">
        <f>C59/Assumptions!$F$29</f>
        <v/>
      </c>
      <c r="D60" s="7">
        <f>D59/Assumptions!$F$29</f>
        <v/>
      </c>
      <c r="E60" s="7">
        <f>E59/Assumptions!$F$29</f>
        <v/>
      </c>
      <c r="F60" s="7">
        <f>F59/Assumptions!$F$29</f>
        <v/>
      </c>
      <c r="G60" s="7">
        <f>G59/Assumptions!$F$29</f>
        <v/>
      </c>
      <c r="H60" s="7">
        <f>H59/Assumptions!$F$29</f>
        <v/>
      </c>
      <c r="I60" s="7">
        <f>I59/Assumptions!$F$29</f>
        <v/>
      </c>
      <c r="J60" s="7">
        <f>J59/Assumptions!$F$29</f>
        <v/>
      </c>
      <c r="K60" s="7">
        <f>K59/Assumptions!$F$29</f>
        <v/>
      </c>
      <c r="L60" s="7">
        <f>L59/Assumptions!$F$29</f>
        <v/>
      </c>
      <c r="M60" s="7">
        <f>M59/Assumptions!$F$29</f>
        <v/>
      </c>
      <c r="N60" s="7">
        <f>N59/Assumptions!$F$29</f>
        <v/>
      </c>
      <c r="O60" s="7">
        <f>O59/Assumptions!$F$29</f>
        <v/>
      </c>
      <c r="P60" s="7">
        <f>P59/Assumptions!$F$29</f>
        <v/>
      </c>
      <c r="Q60" s="7">
        <f>Q59/Assumptions!$F$29</f>
        <v/>
      </c>
      <c r="R60" s="7">
        <f>R59/Assumptions!$F$29</f>
        <v/>
      </c>
      <c r="S60" s="7">
        <f>S59/Assumptions!$F$29</f>
        <v/>
      </c>
      <c r="T60" s="7">
        <f>T59/Assumptions!$F$29</f>
        <v/>
      </c>
      <c r="U60" s="7">
        <f>U59/Assumptions!$F$29</f>
        <v/>
      </c>
      <c r="V60" s="7">
        <f>V59/Assumptions!$F$29</f>
        <v/>
      </c>
      <c r="W60" s="7">
        <f>W59/Assumptions!$F$29</f>
        <v/>
      </c>
      <c r="X60" s="7">
        <f>X59/Assumptions!$F$29</f>
        <v/>
      </c>
      <c r="Y60" s="7">
        <f>Y59/Assumptions!$F$29</f>
        <v/>
      </c>
      <c r="Z60" s="7">
        <f>Z59/Assumptions!$F$29</f>
        <v/>
      </c>
      <c r="AA60" s="7">
        <f>AA59/Assumptions!$F$29</f>
        <v/>
      </c>
      <c r="AB60" s="7">
        <f>AB59/Assumptions!$F$29</f>
        <v/>
      </c>
      <c r="AC60" s="7">
        <f>AC59/Assumptions!$F$29</f>
        <v/>
      </c>
      <c r="AD60" s="7">
        <f>AD59/Assumptions!$F$29</f>
        <v/>
      </c>
      <c r="AE60" s="7">
        <f>AE59/Assumptions!$F$29</f>
        <v/>
      </c>
      <c r="AF60" s="7">
        <f>AF59/Assumptions!$F$29</f>
        <v/>
      </c>
      <c r="AG60" s="7">
        <f>AG59/Assumptions!$F$29</f>
        <v/>
      </c>
      <c r="AH60" s="7">
        <f>AH59/Assumptions!$F$29</f>
        <v/>
      </c>
      <c r="AI60" s="7">
        <f>AI59/Assumptions!$F$29</f>
        <v/>
      </c>
      <c r="AJ60" s="7">
        <f>AJ59/Assumptions!$F$29</f>
        <v/>
      </c>
      <c r="AK60" s="7">
        <f>AK59/Assumptions!$F$29</f>
        <v/>
      </c>
      <c r="AL60" s="7">
        <f>AL59/Assumptions!$F$29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80" customWidth="1" min="5" max="5"/>
  </cols>
  <sheetData>
    <row r="1">
      <c r="A1" s="1" t="inlineStr">
        <is>
          <t>Heroes Arena: build cost and how it is paid for</t>
        </is>
      </c>
    </row>
    <row r="2">
      <c r="A2" s="4" t="inlineStr">
        <is>
          <t>Ex VAT unless stated. A floor, not a budget: formal quotes still needed (Project Overview v0.2, cost sheet v6.6).</t>
        </is>
      </c>
    </row>
    <row r="4">
      <c r="A4" s="15" t="inlineStr">
        <is>
          <t>Item</t>
        </is>
      </c>
      <c r="B4" s="15" t="inlineStr">
        <is>
          <t>Low £</t>
        </is>
      </c>
      <c r="C4" s="15" t="inlineStr">
        <is>
          <t>High £</t>
        </is>
      </c>
      <c r="D4" s="15" t="inlineStr">
        <is>
          <t>Middle £</t>
        </is>
      </c>
      <c r="E4" s="15" t="inlineStr">
        <is>
          <t>Source / label</t>
        </is>
      </c>
    </row>
    <row r="5">
      <c r="A5" s="2" t="inlineStr">
        <is>
          <t>Zappshelter package: 17 × 12.2 m canopy, branded covers, end walls, roller door, fire door, install</t>
        </is>
      </c>
      <c r="B5" s="25" t="n">
        <v>87343</v>
      </c>
      <c r="C5" s="25" t="n">
        <v>87343</v>
      </c>
      <c r="D5" s="8">
        <f>AVERAGE(B5:C5)</f>
        <v/>
      </c>
      <c r="E5" s="4" t="inlineStr">
        <is>
          <t>Quote: Zappshelter, Peter Laird, 29 Oct 2026 (includes container mounting kit and plant hire)</t>
        </is>
      </c>
    </row>
    <row r="6">
      <c r="A6" s="2" t="inlineStr">
        <is>
          <t>Containers: 40 ft reception + 2 × 20 ft stores</t>
        </is>
      </c>
      <c r="B6" s="25" t="n">
        <v>8600</v>
      </c>
      <c r="C6" s="25" t="n">
        <v>12000</v>
      </c>
      <c r="D6" s="8">
        <f>AVERAGE(B6:C6)</f>
        <v/>
      </c>
      <c r="E6" s="4" t="inlineStr">
        <is>
          <t>Indicative low: Zappshelter 29 Oct, 2 × 40 ft at about £4,300 each delivered (rental option £112/month each). High: desk estimate for converted units</t>
        </is>
      </c>
    </row>
    <row r="7">
      <c r="A7" s="2" t="inlineStr">
        <is>
          <t>Reception fit-out and accessible WC</t>
        </is>
      </c>
      <c r="B7" s="25" t="n">
        <v>12000</v>
      </c>
      <c r="C7" s="25" t="n">
        <v>20000</v>
      </c>
      <c r="D7" s="8">
        <f>AVERAGE(B7:C7)</f>
        <v/>
      </c>
      <c r="E7" s="4" t="inlineStr">
        <is>
          <t>Placeholder: unpriced (new spec, 29 Oct 2026)</t>
        </is>
      </c>
    </row>
    <row r="8">
      <c r="A8" s="2" t="inlineStr">
        <is>
          <t>Court tiles, custom multi-sport, 15.0 × 10.2 m</t>
        </is>
      </c>
      <c r="B8" s="25" t="n">
        <v>6250</v>
      </c>
      <c r="C8" s="25" t="n">
        <v>6250</v>
      </c>
      <c r="D8" s="8">
        <f>AVERAGE(B8:C8)</f>
        <v/>
      </c>
      <c r="E8" s="4" t="inlineStr">
        <is>
          <t>Quote: Net World Sports Q00129975, 28 Oct 2026 (logo, edging, basketball, pickleball and badminton lines). Shipping to confirm</t>
        </is>
      </c>
    </row>
    <row r="9">
      <c r="A9" s="2" t="inlineStr">
        <is>
          <t>Run-off tiles</t>
        </is>
      </c>
      <c r="B9" s="25" t="n">
        <v>2552</v>
      </c>
      <c r="C9" s="25" t="n">
        <v>3358</v>
      </c>
      <c r="D9" s="8">
        <f>AVERAGE(B9:C9)</f>
        <v/>
      </c>
      <c r="E9" s="4" t="inlineStr">
        <is>
          <t>Desk estimate, cost sheet v6.6</t>
        </is>
      </c>
    </row>
    <row r="10">
      <c r="A10" s="2" t="inlineStr">
        <is>
          <t>Three movable hoops</t>
        </is>
      </c>
      <c r="B10" s="25" t="n">
        <v>4000</v>
      </c>
      <c r="C10" s="25" t="n">
        <v>4000</v>
      </c>
      <c r="D10" s="8">
        <f>AVERAGE(B10:C10)</f>
        <v/>
      </c>
      <c r="E10" s="4" t="inlineStr">
        <is>
          <t>Jamie assumption, 28 Oct 2026</t>
        </is>
      </c>
    </row>
    <row r="11">
      <c r="A11" s="2" t="inlineStr">
        <is>
          <t>LED lighting and electrics</t>
        </is>
      </c>
      <c r="B11" s="25" t="n">
        <v>3650</v>
      </c>
      <c r="C11" s="25" t="n">
        <v>6650</v>
      </c>
      <c r="D11" s="8">
        <f>AVERAGE(B11:C11)</f>
        <v/>
      </c>
      <c r="E11" s="4" t="inlineStr">
        <is>
          <t>Electrician £650 (desk) + lighting placeholder £3k–£6k</t>
        </is>
      </c>
    </row>
    <row r="12">
      <c r="A12" s="2" t="inlineStr">
        <is>
          <t>Multi-sport kit and sports wheelchairs</t>
        </is>
      </c>
      <c r="B12" s="25" t="n">
        <v>3000</v>
      </c>
      <c r="C12" s="25" t="n">
        <v>8000</v>
      </c>
      <c r="D12" s="8">
        <f>AVERAGE(B12:C12)</f>
        <v/>
      </c>
      <c r="E12" s="4" t="inlineStr">
        <is>
          <t>Placeholder: nets, paddles, dodgeballs, 2–4 sports wheelchairs</t>
        </is>
      </c>
    </row>
    <row r="13">
      <c r="A13" s="2" t="inlineStr">
        <is>
          <t>Planning, structural and safety fees</t>
        </is>
      </c>
      <c r="B13" s="25" t="n">
        <v>5813</v>
      </c>
      <c r="C13" s="25" t="n">
        <v>9423</v>
      </c>
      <c r="D13" s="8">
        <f>AVERAGE(B13:C13)</f>
        <v/>
      </c>
      <c r="E13" s="4" t="inlineStr">
        <is>
          <t>Planning £2,813–£3,423 (list + desk calc) + professionals placeholder £3k–£6k</t>
        </is>
      </c>
    </row>
    <row r="14">
      <c r="A14" t="inlineStr">
        <is>
          <t>Contingency</t>
        </is>
      </c>
      <c r="B14" s="23" t="n">
        <v>0.1</v>
      </c>
      <c r="E14" s="4" t="inlineStr">
        <is>
          <t>Desk estimate</t>
        </is>
      </c>
    </row>
    <row r="15">
      <c r="A15" s="3" t="inlineStr">
        <is>
          <t>Total build</t>
        </is>
      </c>
      <c r="B15" s="10">
        <f>SUM(B5:B13)*(1+$B$14)</f>
        <v/>
      </c>
      <c r="C15" s="10">
        <f>SUM(C5:C13)*(1+$B$14)</f>
        <v/>
      </c>
      <c r="D15" s="10">
        <f>SUM(D5:D13)*(1+$B$14)</f>
        <v/>
      </c>
    </row>
    <row r="17">
      <c r="A17" s="15" t="inlineStr">
        <is>
          <t>Paid for by</t>
        </is>
      </c>
      <c r="B17" s="15" t="inlineStr">
        <is>
          <t>Low £</t>
        </is>
      </c>
      <c r="C17" s="15" t="inlineStr">
        <is>
          <t>High £</t>
        </is>
      </c>
      <c r="D17" s="15" t="inlineStr">
        <is>
          <t>Middle £</t>
        </is>
      </c>
      <c r="E17" s="15" t="inlineStr">
        <is>
          <t>Source / label</t>
        </is>
      </c>
    </row>
    <row r="18">
      <c r="A18" s="2" t="inlineStr">
        <is>
          <t>Supplier finance (Zappshelter package)</t>
        </is>
      </c>
      <c r="B18" s="25" t="n">
        <v>87343</v>
      </c>
      <c r="C18" s="25" t="n">
        <v>87343</v>
      </c>
      <c r="D18" s="34">
        <f>AVERAGE(B18:C18)</f>
        <v/>
      </c>
      <c r="E18" s="4" t="inlineStr">
        <is>
          <t>Indicative: Zappshelter HP, about £2,000 + VAT a month over 5 years (in the model)</t>
        </is>
      </c>
    </row>
    <row r="19">
      <c r="A19" s="2" t="inlineStr">
        <is>
          <t>Grants via a CIC</t>
        </is>
      </c>
      <c r="B19" s="25" t="n">
        <v>0</v>
      </c>
      <c r="C19" s="25" t="n">
        <v>0</v>
      </c>
      <c r="D19" s="34">
        <f>AVERAGE(B19:C19)</f>
        <v/>
      </c>
      <c r="E19" s="4" t="inlineStr">
        <is>
          <t>None for Arena #1: it runs through the Ltd (Jamie, 29 Oct 2026). A CIC is considered for Arenas #2 and #3</t>
        </is>
      </c>
    </row>
    <row r="20">
      <c r="A20" s="2" t="inlineStr">
        <is>
          <t>Sponsorship (boards, kit)</t>
        </is>
      </c>
      <c r="B20" s="25" t="n">
        <v>0</v>
      </c>
      <c r="C20" s="25" t="n">
        <v>5000</v>
      </c>
      <c r="D20" s="34">
        <f>AVERAGE(B20:C20)</f>
        <v/>
      </c>
      <c r="E20" s="4" t="inlineStr">
        <is>
          <t>Desk estimate: local business sponsors on the arena boards</t>
        </is>
      </c>
    </row>
    <row r="21">
      <c r="A21" s="3" t="inlineStr">
        <is>
          <t>Still to find (cash or more grants)</t>
        </is>
      </c>
      <c r="B21" s="10">
        <f>MAX(0,B15-SUM(B18:B20))</f>
        <v/>
      </c>
      <c r="C21" s="10">
        <f>MAX(0,C15-SUM(C18:C20))</f>
        <v/>
      </c>
      <c r="D21" s="10">
        <f>MAX(0,D15-SUM(D18:D20))</f>
        <v/>
      </c>
      <c r="E21" s="4" t="inlineStr">
        <is>
          <t>Columns pair low build with low funding, high with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30" customWidth="1" min="3" max="3"/>
    <col width="30" customWidth="1" min="4" max="4"/>
    <col width="40" customWidth="1" min="5" max="5"/>
  </cols>
  <sheetData>
    <row r="1">
      <c r="A1" s="1" t="inlineStr">
        <is>
          <t>Funding routes: who applies, for what</t>
        </is>
      </c>
    </row>
    <row r="2">
      <c r="A2" s="4" t="inlineStr">
        <is>
          <t>Eligibility and amounts are unverified desk research (funder sites could not be checked from this session). Verify before relying on any line.</t>
        </is>
      </c>
    </row>
    <row r="4">
      <c r="A4" s="15" t="inlineStr">
        <is>
          <t>Route</t>
        </is>
      </c>
      <c r="B4" s="15" t="inlineStr">
        <is>
          <t>What it pays for</t>
        </is>
      </c>
      <c r="C4" s="15" t="inlineStr">
        <is>
          <t>Who applies</t>
        </is>
      </c>
      <c r="D4" s="15" t="inlineStr">
        <is>
          <t>Typical size</t>
        </is>
      </c>
      <c r="E4" s="15" t="inlineStr">
        <is>
          <t>Status</t>
        </is>
      </c>
    </row>
    <row r="5">
      <c r="A5" s="35" t="inlineStr">
        <is>
          <t>Supplier finance (Zappshelter HP or lease)</t>
        </is>
      </c>
      <c r="B5" s="35" t="inlineStr">
        <is>
          <t>Canopy, covers, end walls, doors, install</t>
        </is>
      </c>
      <c r="C5" s="35" t="inlineStr">
        <is>
          <t>Hoop Heroes Ltd (or CIC)</t>
        </is>
      </c>
      <c r="D5" s="35" t="inlineStr">
        <is>
          <t>~£2,000 + VAT/month over 5 years, or ~£3,000 over 3</t>
        </is>
      </c>
      <c r="E5" s="35" t="inlineStr">
        <is>
          <t>Indicative (29 Oct 2026); terms, VAT and guarantee to confirm</t>
        </is>
      </c>
    </row>
    <row r="6">
      <c r="A6" s="35" t="inlineStr">
        <is>
          <t>National Lottery Awards for All</t>
        </is>
      </c>
      <c r="B6" s="35" t="inlineStr">
        <is>
          <t>Community sessions, kit, small capital</t>
        </is>
      </c>
      <c r="C6" s="35" t="inlineStr">
        <is>
          <t>CIC</t>
        </is>
      </c>
      <c r="D6" s="35" t="inlineStr">
        <is>
          <t>Up to £20,000</t>
        </is>
      </c>
      <c r="E6" s="35" t="inlineStr">
        <is>
          <t>To verify; not open to profit-making companies</t>
        </is>
      </c>
    </row>
    <row r="7">
      <c r="A7" s="35" t="inlineStr">
        <is>
          <t>Sport England Movement Fund</t>
        </is>
      </c>
      <c r="B7" s="35" t="inlineStr">
        <is>
          <t>Projects getting inactive groups active, incl. kit</t>
        </is>
      </c>
      <c r="C7" s="35" t="inlineStr">
        <is>
          <t>CIC</t>
        </is>
      </c>
      <c r="D7" s="35" t="inlineStr">
        <is>
          <t>Up to £15,000 (often crowdfund-matched)</t>
        </is>
      </c>
      <c r="E7" s="35" t="inlineStr">
        <is>
          <t>To verify</t>
        </is>
      </c>
    </row>
    <row r="8">
      <c r="A8" s="35" t="inlineStr">
        <is>
          <t>Holiday Activities and Food (Buckinghamshire Council)</t>
        </is>
      </c>
      <c r="B8" s="35" t="inlineStr">
        <is>
          <t>Free holiday places for eligible children</t>
        </is>
      </c>
      <c r="C8" s="35" t="inlineStr">
        <is>
          <t>Hoop Heroes Ltd as approved provider</t>
        </is>
      </c>
      <c r="D8" s="35" t="inlineStr">
        <is>
          <t>Per place per day</t>
        </is>
      </c>
      <c r="E8" s="35" t="inlineStr">
        <is>
          <t>To verify rate and provider route</t>
        </is>
      </c>
    </row>
    <row r="9">
      <c r="A9" s="35" t="inlineStr">
        <is>
          <t>PE and Sport Premium (paid by the school)</t>
        </is>
      </c>
      <c r="B9" s="35" t="inlineStr">
        <is>
          <t>PE lesson support and teacher CPD (revenue only)</t>
        </is>
      </c>
      <c r="C9" s="35" t="inlineStr">
        <is>
          <t>School buys from Hoop Heroes Ltd</t>
        </is>
      </c>
      <c r="D9" s="35" t="inlineStr">
        <is>
          <t>£6,240 + £10 per pupil per school a year</t>
        </is>
      </c>
      <c r="E9" s="35" t="inlineStr">
        <is>
          <t>Actual (GOV.UK 2026/27); cannot fund the build</t>
        </is>
      </c>
    </row>
    <row r="10">
      <c r="A10" s="35" t="inlineStr">
        <is>
          <t>Basketball England and wheelchair basketball funds</t>
        </is>
      </c>
      <c r="B10" s="35" t="inlineStr">
        <is>
          <t>Basketball kit, sports wheelchairs, coach courses</t>
        </is>
      </c>
      <c r="C10" s="35" t="inlineStr">
        <is>
          <t>CIC or affiliated club</t>
        </is>
      </c>
      <c r="D10" s="35" t="inlineStr">
        <is>
          <t>Small grants</t>
        </is>
      </c>
      <c r="E10" s="35" t="inlineStr">
        <is>
          <t>To verify</t>
        </is>
      </c>
    </row>
    <row r="11">
      <c r="A11" s="35" t="inlineStr">
        <is>
          <t>Local council community grants, Section 106 / CIL</t>
        </is>
      </c>
      <c r="B11" s="35" t="inlineStr">
        <is>
          <t>Facility capital in the community</t>
        </is>
      </c>
      <c r="C11" s="35" t="inlineStr">
        <is>
          <t>CIC</t>
        </is>
      </c>
      <c r="D11" s="35" t="inlineStr">
        <is>
          <t>Varies</t>
        </is>
      </c>
      <c r="E11" s="35" t="inlineStr">
        <is>
          <t>To verify with Buckinghamshire Council</t>
        </is>
      </c>
    </row>
    <row r="12">
      <c r="A12" s="35" t="inlineStr">
        <is>
          <t>Local business sponsorship</t>
        </is>
      </c>
      <c r="B12" s="35" t="inlineStr">
        <is>
          <t>Arena boards, kit, team shirts</t>
        </is>
      </c>
      <c r="C12" s="35" t="inlineStr">
        <is>
          <t>Hoop Heroes Ltd</t>
        </is>
      </c>
      <c r="D12" s="35" t="inlineStr">
        <is>
          <t>£500–£5,000 a year</t>
        </is>
      </c>
      <c r="E12" s="35" t="inlineStr">
        <is>
          <t>Idea</t>
        </is>
      </c>
    </row>
    <row r="14">
      <c r="A14" s="3" t="inlineStr">
        <is>
          <t>How the two companies work together (proposal, for the accountant and solicitor)</t>
        </is>
      </c>
    </row>
    <row r="15" ht="32" customHeight="1">
      <c r="A15" s="35" t="inlineStr">
        <is>
          <t>DECIDED (Jamie, 29 Oct 2026): Arena #1 runs through Hoop Heroes Region 1 Ltd. Once it is open and proven, look at whether a CIC helps fund Arenas #2 and #3. Goal: three Arenas. The proposal below is for that later stage.</t>
        </is>
      </c>
    </row>
    <row r="16" ht="32" customHeight="1">
      <c r="A16" s="35" t="inlineStr">
        <is>
          <t>Heroes Arena CIC (to be formed): holds the community side. Applies for grants, runs free and community sessions (SEND, wheelchair, girls-only, free sessions), and can hold kit and grant-funded parts of the building.</t>
        </is>
      </c>
    </row>
    <row r="17" ht="32" customHeight="1">
      <c r="A17" s="35" t="inlineStr">
        <is>
          <t>Hoop Heroes Region 1 Ltd: runs the paid programme (memberships, parties, camps, breakfast, leagues, school PE support) and pays the CIC an arm's-length fee for its use of the space and kit.</t>
        </is>
      </c>
    </row>
    <row r="18" ht="32" customHeight="1">
      <c r="A18" s="35" t="inlineStr">
        <is>
          <t>The school licenses the site to whichever body holds the Arena; the agreement allows assignment to the CIC later.</t>
        </is>
      </c>
    </row>
    <row r="19" ht="32" customHeight="1">
      <c r="A19" s="35" t="inlineStr">
        <is>
          <t>Questions to settle first: the CIC asset lock; whether the sports-hire VAT exemption stops the CIC reclaiming VAT on the build; Flat Rate VAT limits for the Ltd; related-party rules and an independent CIC director.</t>
        </is>
      </c>
    </row>
    <row r="20" ht="32" customHeight="1">
      <c r="A20" s="35" t="inlineStr">
        <is>
          <t>KB position (Project Overview v0.2, decision D1): "Ltd first", forming the CIC when a named grant needs it, is recommended and awaiting Jamie.</t>
        </is>
      </c>
    </row>
  </sheetData>
  <mergeCells count="6"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2026-10-30T06:29:14Z</dcterms:created>
  <dcterms:modified xmlns:dcterms="http://purl.org/dc/terms/" xmlns:xsi="http://www.w3.org/2001/XMLSchema-instance" xsi:type="dcterms:W3CDTF">2026-10-30T06:29:14Z</dcterms:modified>
</cp:coreProperties>
</file>