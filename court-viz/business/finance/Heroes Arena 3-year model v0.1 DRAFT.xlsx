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Assumptions" sheetId="3" state="visible" r:id="rId5"/>
    <sheet name="Monthly" sheetId="4" state="visible" r:id="rId6"/>
    <sheet name="Build and funding" sheetId="5" state="visible" r:id="rId7"/>
    <sheet name="Funding rou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<sst xmlns="http://schemas.openxmlformats.org/spreadsheetml/2006/main" count="491" uniqueCount="371">
  <si>
    <t xml:space="preserve">Heroes Arena 3-year model, v0.1 DRAFT (29 Oct 2026)</t>
  </si>
  <si>
    <t xml:space="preserve">Internal. Not for schools. A desk model for discussion, not a forecast, quote or advice.</t>
  </si>
  <si>
    <t xml:space="preserve">How to use it</t>
  </si>
  <si>
    <t xml:space="preserve">1. Summary: the 3-year picture against today in rented halls, with a chart.</t>
  </si>
  <si>
    <t xml:space="preserve">2. Assumptions: every input, with its source. Change the case in cell C3 (1 Downside, 2 Cautious, 3 Target).</t>
  </si>
  <si>
    <t xml:space="preserve">3. Monthly: 36 months from opening, built only from the Assumptions sheet.</t>
  </si>
  <si>
    <t xml:space="preserve">4. Build and funding: the build cost floor and how it might be paid for.</t>
  </si>
  <si>
    <t xml:space="preserve">5. Funding routes: which body applies for what, and how the CIC and the Ltd work together.</t>
  </si>
  <si>
    <t xml:space="preserve">Colours</t>
  </si>
  <si>
    <t xml:space="preserve">Blue text = an input you can change. Black = a formula. Yellow = the case selector.</t>
  </si>
  <si>
    <t xml:space="preserve">Labels (as in the KB)</t>
  </si>
  <si>
    <t xml:space="preserve">Actual = invoices or live systems. Indicative = a supplier's informal figure. List price = published price. Desk estimate = our own calculation. Jamie assumption = a figure Jamie set.</t>
  </si>
  <si>
    <t xml:space="preserve">Heroes Arena: 3-year summary</t>
  </si>
  <si>
    <t xml:space="preserve">Today, rented halls (per year)</t>
  </si>
  <si>
    <t xml:space="preserve">Arena Year 1</t>
  </si>
  <si>
    <t xml:space="preserve">Arena Year 2</t>
  </si>
  <si>
    <t xml:space="preserve">Arena Year 3</t>
  </si>
  <si>
    <t xml:space="preserve">Members at year end</t>
  </si>
  <si>
    <t xml:space="preserve">Class sessions a week at year end</t>
  </si>
  <si>
    <t xml:space="preserve">Court hours used, share of usable hours</t>
  </si>
  <si>
    <t xml:space="preserve">Income</t>
  </si>
  <si>
    <t xml:space="preserve">Memberships, multi-session plans and joining fees</t>
  </si>
  <si>
    <t xml:space="preserve">Birthday parties and 3x3 tournaments</t>
  </si>
  <si>
    <t xml:space="preserve">Holiday camps and funded places</t>
  </si>
  <si>
    <t xml:space="preserve">Breakfast All Stars and leagues</t>
  </si>
  <si>
    <t xml:space="preserve">School PE support, hire and grants</t>
  </si>
  <si>
    <t xml:space="preserve">Total income</t>
  </si>
  <si>
    <t xml:space="preserve">Costs</t>
  </si>
  <si>
    <t xml:space="preserve">Coaching and session costs</t>
  </si>
  <si>
    <t xml:space="preserve">Hall rent</t>
  </si>
  <si>
    <t xml:space="preserve">Arena finance</t>
  </si>
  <si>
    <t xml:space="preserve">Arena running and heating</t>
  </si>
  <si>
    <t xml:space="preserve">Marketing, admin and kit</t>
  </si>
  <si>
    <t xml:space="preserve">Total costs</t>
  </si>
  <si>
    <t xml:space="preserve">SITE PROFIT (before central overheads)</t>
  </si>
  <si>
    <t xml:space="preserve">Profit margin</t>
  </si>
  <si>
    <t xml:space="preserve">Extra profit vs rented halls</t>
  </si>
  <si>
    <t xml:space="preserve">Income per member a year</t>
  </si>
  <si>
    <t xml:space="preserve">Notes</t>
  </si>
  <si>
    <t xml:space="preserve">"Today" is Aylesbury and Wendover in rented halls for a year at today's members, with no growth: halls cap the timetable.</t>
  </si>
  <si>
    <t xml:space="preserve">Site profit is before central overheads (management, head office, owner pay). The Arena column also carries its own marketing, admin and kit, so the comparison is cautious.</t>
  </si>
  <si>
    <t xml:space="preserve">Capacity: the Arena has about 45 usable court hours a week against 3 hours in halls today. Above about 90% the timetable is full.</t>
  </si>
  <si>
    <t xml:space="preserve">On rent saved alone the Arena does not pay its way (Project Overview v0.2). The extra profit comes from growth: more members, 2nd sessions, parties, camps, breakfast and leagues.</t>
  </si>
  <si>
    <t xml:space="preserve">Not included: business rates, structure insurance above the running allowance, professional fees and any build costs not covered by finance (see Build and funding).</t>
  </si>
  <si>
    <t xml:space="preserve">Figures are a desk model for discussion, not a forecast or advice. VAT, CIC and finance terms to confirm with the accountant.</t>
  </si>
  <si>
    <t xml:space="preserve">Heroes Arena: assumptions</t>
  </si>
  <si>
    <t xml:space="preserve">Blue = input you can change. Pick the case in C3; every other sheet follows. Labels say where each figure comes from.</t>
  </si>
  <si>
    <t xml:space="preserve">Case shown (1 = Downside, 2 = Cautious, 3 = Target)</t>
  </si>
  <si>
    <t xml:space="preserve">Assumption</t>
  </si>
  <si>
    <t xml:space="preserve">Unit</t>
  </si>
  <si>
    <t xml:space="preserve">Downside</t>
  </si>
  <si>
    <t xml:space="preserve">Cautious</t>
  </si>
  <si>
    <t xml:space="preserve">Target</t>
  </si>
  <si>
    <t xml:space="preserve">Live (case shown)</t>
  </si>
  <si>
    <t xml:space="preserve">Source / label</t>
  </si>
  <si>
    <t xml:space="preserve">Opening and members</t>
  </si>
  <si>
    <t xml:space="preserve">Arena opens</t>
  </si>
  <si>
    <t xml:space="preserve">date</t>
  </si>
  <si>
    <t xml:space="preserve">Desk assumption: September 2027 (planning note v1.0: summer 2027 is the realistic fast date)</t>
  </si>
  <si>
    <t xml:space="preserve">Members on opening (moving in)</t>
  </si>
  <si>
    <t xml:space="preserve">members</t>
  </si>
  <si>
    <t xml:space="preserve">Jamie assumption: 100+ (Aylesbury 31 + Wendover 67 = 98, actual TeamUp 26 Oct 2026). Downside uses the KB retention case (~78 move)</t>
  </si>
  <si>
    <t xml:space="preserve">Members, end of Year 1</t>
  </si>
  <si>
    <t xml:space="preserve">Jamie assumption (target); cautious and downside are desk estimates</t>
  </si>
  <si>
    <t xml:space="preserve">Members, end of Year 2</t>
  </si>
  <si>
    <t xml:space="preserve">Members, end of Year 3</t>
  </si>
  <si>
    <t xml:space="preserve">Target 400: Jamie, 29 Oct 2026. Cautious 250: KB growth case (HHOS 2.0 / Project Overview v0.2)</t>
  </si>
  <si>
    <t xml:space="preserve">Membership fee, realised per member</t>
  </si>
  <si>
    <t xml:space="preserve">£/month</t>
  </si>
  <si>
    <t xml:space="preserve">Actual: £34.73–£35 realised fee (Project Overview v0.2, Finance)</t>
  </si>
  <si>
    <t xml:space="preserve">Members adding a 2nd weekly session</t>
  </si>
  <si>
    <t xml:space="preserve">% of members</t>
  </si>
  <si>
    <t xml:space="preserve">Desk estimate (HHOS 2.0 suggests about a third on multi-session plans)</t>
  </si>
  <si>
    <t xml:space="preserve">2nd weekly session price</t>
  </si>
  <si>
    <t xml:space="preserve">Jamie, 29 Oct 2026</t>
  </si>
  <si>
    <t xml:space="preserve">Members on a 3-a-week plan</t>
  </si>
  <si>
    <t xml:space="preserve">Desk estimate</t>
  </si>
  <si>
    <t xml:space="preserve">3-a-week plan price, on top of the membership</t>
  </si>
  <si>
    <t xml:space="preserve">Joining fee per new member</t>
  </si>
  <si>
    <t xml:space="preserve">£</t>
  </si>
  <si>
    <t xml:space="preserve">Jamie, 29 Oct 2026. Families moving in from today's classes don't pay it</t>
  </si>
  <si>
    <t xml:space="preserve">Members leaving each month (replaced by new joiners)</t>
  </si>
  <si>
    <t xml:space="preserve">% a month</t>
  </si>
  <si>
    <t xml:space="preserve">Desk estimate; to replace with TeamUp actuals</t>
  </si>
  <si>
    <t xml:space="preserve">Average children per class</t>
  </si>
  <si>
    <t xml:space="preserve">children</t>
  </si>
  <si>
    <t xml:space="preserve">Actual: 140 bookings across 8 classes (TeamUp, 26 Oct 2026); class cap placeholder 20</t>
  </si>
  <si>
    <t xml:space="preserve">Coaching weeks a year (classes)</t>
  </si>
  <si>
    <t xml:space="preserve">weeks</t>
  </si>
  <si>
    <t xml:space="preserve">Actual: halls booked 39 weeks a year (Court Hub vs hall hire v0.1)</t>
  </si>
  <si>
    <t xml:space="preserve">Flat Rate VAT on sales</t>
  </si>
  <si>
    <t xml:space="preserve">% of gross</t>
  </si>
  <si>
    <t xml:space="preserve">Desk estimate: FRS rate for sport/leisure; HHR1 is on the FRS (Jamie, 26 Oct). Confirm with the accountant</t>
  </si>
  <si>
    <t xml:space="preserve">Card and payment fees</t>
  </si>
  <si>
    <t xml:space="preserve">% of sales</t>
  </si>
  <si>
    <t xml:space="preserve">Desk estimate (Stripe)</t>
  </si>
  <si>
    <t xml:space="preserve">Coaching (one head coach + one assistant per session)</t>
  </si>
  <si>
    <t xml:space="preserve">Head coach pay</t>
  </si>
  <si>
    <t xml:space="preserve">£/hour</t>
  </si>
  <si>
    <t xml:space="preserve">Assistant coach pay</t>
  </si>
  <si>
    <t xml:space="preserve">Paid hours per 1-hour session</t>
  </si>
  <si>
    <t xml:space="preserve">hours</t>
  </si>
  <si>
    <t xml:space="preserve">Desk estimate: includes set-up and pack-down</t>
  </si>
  <si>
    <t xml:space="preserve">Employer on-costs (holiday pay, NI)</t>
  </si>
  <si>
    <t xml:space="preserve">% of pay</t>
  </si>
  <si>
    <t xml:space="preserve">Desk estimate; confirm with Finance</t>
  </si>
  <si>
    <t xml:space="preserve">Cost of one coached session</t>
  </si>
  <si>
    <t xml:space="preserve">£/session</t>
  </si>
  <si>
    <t xml:space="preserve">Formula</t>
  </si>
  <si>
    <t xml:space="preserve">Court hours we can use a week (outside the school day)</t>
  </si>
  <si>
    <t xml:space="preserve">Desk estimate: weekdays 3:30–8:30pm (25) + weekends 9am–7pm (20). Today: 3 hours a week in halls</t>
  </si>
  <si>
    <t xml:space="preserve">Birthday parties</t>
  </si>
  <si>
    <t xml:space="preserve">Party price</t>
  </si>
  <si>
    <t xml:space="preserve">£/party</t>
  </si>
  <si>
    <t xml:space="preserve">Jamie, 29 Oct 2026 (about 90 minutes, up to 20 children)</t>
  </si>
  <si>
    <t xml:space="preserve">Parties a week, Year 1</t>
  </si>
  <si>
    <t xml:space="preserve">parties</t>
  </si>
  <si>
    <t xml:space="preserve">Parties a week, Year 2</t>
  </si>
  <si>
    <t xml:space="preserve">Parties a week, Year 3</t>
  </si>
  <si>
    <t xml:space="preserve">Staff hours per party (both coaches)</t>
  </si>
  <si>
    <t xml:space="preserve">Party extras (medals, kit, cleaning)</t>
  </si>
  <si>
    <t xml:space="preserve">Court time per party</t>
  </si>
  <si>
    <t xml:space="preserve">3x3 tournaments (one-day events, like Gameday)</t>
  </si>
  <si>
    <t xml:space="preserve">Tournaments a year, Year 1</t>
  </si>
  <si>
    <t xml:space="preserve">events</t>
  </si>
  <si>
    <t xml:space="preserve">Tournaments a year, Year 2</t>
  </si>
  <si>
    <t xml:space="preserve">Tournaments a year, Year 3</t>
  </si>
  <si>
    <t xml:space="preserve">Players per tournament</t>
  </si>
  <si>
    <t xml:space="preserve">players</t>
  </si>
  <si>
    <t xml:space="preserve">Desk estimate (Gameday: 3 on court + 1 sub per team)</t>
  </si>
  <si>
    <t xml:space="preserve">Entry fee per player</t>
  </si>
  <si>
    <t xml:space="preserve">Actual: 3x3 Gameday £30 per player (website, Oct 2026)</t>
  </si>
  <si>
    <t xml:space="preserve">Coach hours per tournament (all staff)</t>
  </si>
  <si>
    <t xml:space="preserve">Desk estimate: 2 head + 2 assistant coaches for 3 hours</t>
  </si>
  <si>
    <t xml:space="preserve">Medals and extras per player</t>
  </si>
  <si>
    <t xml:space="preserve">Holiday camps</t>
  </si>
  <si>
    <t xml:space="preserve">Camp price</t>
  </si>
  <si>
    <t xml:space="preserve">£/child/day</t>
  </si>
  <si>
    <t xml:space="preserve">Jamie, 29 Oct 2026 (9am to 3pm)</t>
  </si>
  <si>
    <t xml:space="preserve">Share of holiday weeks we run, Year 1</t>
  </si>
  <si>
    <t xml:space="preserve">% of 13 weeks</t>
  </si>
  <si>
    <t xml:space="preserve">Share of holiday weeks we run, Year 2</t>
  </si>
  <si>
    <t xml:space="preserve">Share of holiday weeks we run, Year 3</t>
  </si>
  <si>
    <t xml:space="preserve">Paying campers a day, Year 1</t>
  </si>
  <si>
    <t xml:space="preserve">Paying campers a day, Year 2</t>
  </si>
  <si>
    <t xml:space="preserve">Paying campers a day, Year 3</t>
  </si>
  <si>
    <t xml:space="preserve">Children per coach at camp</t>
  </si>
  <si>
    <t xml:space="preserve">Staff hours per camp day</t>
  </si>
  <si>
    <t xml:space="preserve">Desk estimate (9am to 3pm plus set-up)</t>
  </si>
  <si>
    <t xml:space="preserve">Average coach rate at camp</t>
  </si>
  <si>
    <t xml:space="preserve">Funded holiday places (Holiday Activities and Food programme)</t>
  </si>
  <si>
    <t xml:space="preserve">Funded places a day, Year 1</t>
  </si>
  <si>
    <t xml:space="preserve">Desk estimate; needs approval as a Bucks HAF provider</t>
  </si>
  <si>
    <t xml:space="preserve">Funded places a day, Year 2</t>
  </si>
  <si>
    <t xml:space="preserve">Funded places a day, Year 3</t>
  </si>
  <si>
    <t xml:space="preserve">HAF payment per place per day</t>
  </si>
  <si>
    <t xml:space="preserve">Desk estimate: to verify with Buckinghamshire Council HAF</t>
  </si>
  <si>
    <t xml:space="preserve">HAF days per HAF week</t>
  </si>
  <si>
    <t xml:space="preserve">days</t>
  </si>
  <si>
    <t xml:space="preserve">Desk estimate (HAF runs 4 days a week)</t>
  </si>
  <si>
    <t xml:space="preserve">Food and extra cost per HAF place per day</t>
  </si>
  <si>
    <t xml:space="preserve">Breakfast All Stars (before school)</t>
  </si>
  <si>
    <t xml:space="preserve">Price per morning</t>
  </si>
  <si>
    <t xml:space="preserve">£/child</t>
  </si>
  <si>
    <t xml:space="preserve">Mornings a week</t>
  </si>
  <si>
    <t xml:space="preserve">mornings</t>
  </si>
  <si>
    <t xml:space="preserve">Example week in the schools deck</t>
  </si>
  <si>
    <t xml:space="preserve">Children per morning, Year 1</t>
  </si>
  <si>
    <t xml:space="preserve">Children per morning, Year 2</t>
  </si>
  <si>
    <t xml:space="preserve">Children per morning, Year 3</t>
  </si>
  <si>
    <t xml:space="preserve">Head coach hours per morning</t>
  </si>
  <si>
    <t xml:space="preserve">Desk estimate (one coach)</t>
  </si>
  <si>
    <t xml:space="preserve">3x3 leagues</t>
  </si>
  <si>
    <t xml:space="preserve">League fee per player per term</t>
  </si>
  <si>
    <t xml:space="preserve">League terms a year</t>
  </si>
  <si>
    <t xml:space="preserve">terms</t>
  </si>
  <si>
    <t xml:space="preserve">League players, Year 1</t>
  </si>
  <si>
    <t xml:space="preserve">League players, Year 2</t>
  </si>
  <si>
    <t xml:space="preserve">League players, Year 3</t>
  </si>
  <si>
    <t xml:space="preserve">League sessions a week</t>
  </si>
  <si>
    <t xml:space="preserve">sessions</t>
  </si>
  <si>
    <t xml:space="preserve">Other income</t>
  </si>
  <si>
    <t xml:space="preserve">School PE support and CPD, Year 1</t>
  </si>
  <si>
    <t xml:space="preserve">£/year</t>
  </si>
  <si>
    <t xml:space="preserve">Desk estimate; paid by the school from its PE and Sport Premium (revenue only)</t>
  </si>
  <si>
    <t xml:space="preserve">School PE support and CPD, Year 2</t>
  </si>
  <si>
    <t xml:space="preserve">School PE support and CPD, Year 3</t>
  </si>
  <si>
    <t xml:space="preserve">Hire of unused hours, Year 1</t>
  </si>
  <si>
    <t xml:space="preserve">Desk estimate; school agreement and VAT to check</t>
  </si>
  <si>
    <t xml:space="preserve">Hire of unused hours, Year 2</t>
  </si>
  <si>
    <t xml:space="preserve">Hire of unused hours, Year 3</t>
  </si>
  <si>
    <t xml:space="preserve">Community sessions (free, SEND, wheelchair, girls-only, over-40s)</t>
  </si>
  <si>
    <t xml:space="preserve">Community sessions a week</t>
  </si>
  <si>
    <t xml:space="preserve">Desk estimate; timetable owned by the Coaching Director</t>
  </si>
  <si>
    <t xml:space="preserve">Share of their coaching cost paid by grants, Year 1</t>
  </si>
  <si>
    <t xml:space="preserve">% of cost</t>
  </si>
  <si>
    <t xml:space="preserve">Jamie, 29 Oct 2026: Arena #1 runs through the Ltd; most community grants need a not-for-profit, so none in Year 1</t>
  </si>
  <si>
    <t xml:space="preserve">Share paid by grants, Year 2</t>
  </si>
  <si>
    <t xml:space="preserve">Desk estimate: once a CIC is set up after Arena #1 is proven</t>
  </si>
  <si>
    <t xml:space="preserve">Share paid by grants, Year 3</t>
  </si>
  <si>
    <t xml:space="preserve">Arena running costs</t>
  </si>
  <si>
    <t xml:space="preserve">Supplier finance (canopy and containers)</t>
  </si>
  <si>
    <t xml:space="preserve">Indicative: Zappshelter, Peter Laird, 26 Oct 2026, 5 years, no deposit. Coverage and VAT to confirm</t>
  </si>
  <si>
    <t xml:space="preserve">Finance term</t>
  </si>
  <si>
    <t xml:space="preserve">months</t>
  </si>
  <si>
    <t xml:space="preserve">Indicative, as above</t>
  </si>
  <si>
    <t xml:space="preserve">Running: insurance, power, maintenance, fabric fund</t>
  </si>
  <si>
    <t xml:space="preserve">Desk estimate: HHOS 2.0 £6k–£12k a year</t>
  </si>
  <si>
    <t xml:space="preserve">Heating, per winter (Nov to Mar)</t>
  </si>
  <si>
    <t xml:space="preserve">£/winter</t>
  </si>
  <si>
    <t xml:space="preserve">Desk estimate: £5.6k–£9.5k per winter (options paper v1.0); to re-estimate</t>
  </si>
  <si>
    <t xml:space="preserve">Rent to the school</t>
  </si>
  <si>
    <t xml:space="preserve">Jamie, 29 Oct 2026: zero rent under the school agreement</t>
  </si>
  <si>
    <t xml:space="preserve">Marketing</t>
  </si>
  <si>
    <t xml:space="preserve">Admin and systems</t>
  </si>
  <si>
    <t xml:space="preserve">Kit replacement</t>
  </si>
  <si>
    <t xml:space="preserve">Today, in rented halls (for comparison)</t>
  </si>
  <si>
    <t xml:space="preserve">Members today (Aylesbury + Wendover)</t>
  </si>
  <si>
    <t xml:space="preserve">Actual: TeamUp paid members, 26 Oct 2026</t>
  </si>
  <si>
    <t xml:space="preserve">Hall rent today</t>
  </si>
  <si>
    <t xml:space="preserve">Actual: invoices and Finance model (Project Overview v0.2)</t>
  </si>
  <si>
    <t xml:space="preserve">Classes a week today</t>
  </si>
  <si>
    <t xml:space="preserve">classes</t>
  </si>
  <si>
    <t xml:space="preserve">Actual: TeamUp, 26 Oct 2026</t>
  </si>
  <si>
    <t xml:space="preserve">Holiday and winter calendar</t>
  </si>
  <si>
    <t xml:space="preserve">Month</t>
  </si>
  <si>
    <t xml:space="preserve">Month no.</t>
  </si>
  <si>
    <t xml:space="preserve">Camp weeks</t>
  </si>
  <si>
    <t xml:space="preserve">HAF weeks</t>
  </si>
  <si>
    <t xml:space="preserve">Heating month (1 = yes)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</si>
  <si>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</si>
  <si>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</si>
  <si>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</si>
  <si>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</si>
  <si>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</si>
  <si>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</si>
  <si>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</si>
  <si>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</si>
  <si>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</si>
  <si>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</si>
  <si>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</si>
  <si>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</si>
  <si>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Totals</t>
  </si>
  <si>
    <t xml:space="preserve">Camp weeks = school holidays (13); HAF = Easter, summer and Christmas (desk estimate)</t>
  </si>
  <si>
    <t xml:space="preserve">Heroes Arena: month by month, 36 months</t>
  </si>
  <si>
    <t xml:space="preserve">Month starting</t>
  </si>
  <si>
    <t xml:space="preserve">Arena year</t>
  </si>
  <si>
    <t xml:space="preserve">Calendar month</t>
  </si>
  <si>
    <t xml:space="preserve">MEMBERS</t>
  </si>
  <si>
    <t xml:space="preserve">Members</t>
  </si>
  <si>
    <t xml:space="preserve">Of which on a 2-a-week plan</t>
  </si>
  <si>
    <t xml:space="preserve">Of which on a 3-a-week plan</t>
  </si>
  <si>
    <t xml:space="preserve">New joiners (growth + replacing leavers)</t>
  </si>
  <si>
    <t xml:space="preserve">Class sessions a week</t>
  </si>
  <si>
    <t xml:space="preserve">INCOME (after Flat Rate VAT)</t>
  </si>
  <si>
    <t xml:space="preserve">Memberships</t>
  </si>
  <si>
    <t xml:space="preserve">2-a-week plans</t>
  </si>
  <si>
    <t xml:space="preserve">3-a-week plans</t>
  </si>
  <si>
    <t xml:space="preserve">Joining fees</t>
  </si>
  <si>
    <t xml:space="preserve">3x3 tournaments</t>
  </si>
  <si>
    <t xml:space="preserve">Funded holiday places (HAF)</t>
  </si>
  <si>
    <t xml:space="preserve">Breakfast All Stars</t>
  </si>
  <si>
    <t xml:space="preserve">School PE support and CPD</t>
  </si>
  <si>
    <t xml:space="preserve">Hire of unused hours</t>
  </si>
  <si>
    <t xml:space="preserve">Grants for community sessions</t>
  </si>
  <si>
    <t xml:space="preserve">DIRECT COSTS</t>
  </si>
  <si>
    <t xml:space="preserve">Class coaching</t>
  </si>
  <si>
    <t xml:space="preserve">Party staff and extras</t>
  </si>
  <si>
    <t xml:space="preserve">Tournament staff and medals</t>
  </si>
  <si>
    <t xml:space="preserve">Camp staff</t>
  </si>
  <si>
    <t xml:space="preserve">Funded places: food and extra staff</t>
  </si>
  <si>
    <t xml:space="preserve">Breakfast coaching</t>
  </si>
  <si>
    <t xml:space="preserve">League coaching</t>
  </si>
  <si>
    <t xml:space="preserve">Community session coaching</t>
  </si>
  <si>
    <t xml:space="preserve">Total direct costs</t>
  </si>
  <si>
    <t xml:space="preserve">Contribution after direct costs</t>
  </si>
  <si>
    <t xml:space="preserve">ARENA COSTS</t>
  </si>
  <si>
    <t xml:space="preserve">Running: insurance, power, maintenance</t>
  </si>
  <si>
    <t xml:space="preserve">Heating (winter months)</t>
  </si>
  <si>
    <t xml:space="preserve">Total Arena costs</t>
  </si>
  <si>
    <t xml:space="preserve">Cumulative site profit</t>
  </si>
  <si>
    <t xml:space="preserve">CAPACITY</t>
  </si>
  <si>
    <t xml:space="preserve">Court hours used a week (classes, community, leagues, parties)</t>
  </si>
  <si>
    <t xml:space="preserve">Share of usable court hours</t>
  </si>
  <si>
    <t xml:space="preserve">Heroes Arena: build cost and how it is paid for</t>
  </si>
  <si>
    <t xml:space="preserve">Ex VAT unless stated. A floor, not a budget: formal quotes still needed (Project Overview v0.2, cost sheet v6.6).</t>
  </si>
  <si>
    <t xml:space="preserve">Item</t>
  </si>
  <si>
    <t xml:space="preserve">Low £</t>
  </si>
  <si>
    <t xml:space="preserve">High £</t>
  </si>
  <si>
    <t xml:space="preserve">Middle £</t>
  </si>
  <si>
    <t xml:space="preserve">Canopy, 17 m span, supply and install</t>
  </si>
  <si>
    <t xml:space="preserve">Indicative £30k (Zappshelter 16 Oct, 14 m open-ended); high = desk scale-up to 17 m</t>
  </si>
  <si>
    <t xml:space="preserve">Containers: 40 ft reception + 2 × 20 ft stores</t>
  </si>
  <si>
    <t xml:space="preserve">Desk estimate (used containers; cost sheet v6.6 has 4 × 20 ft at £3.5k–£6.2k)</t>
  </si>
  <si>
    <t xml:space="preserve">Reception fit-out and accessible WC</t>
  </si>
  <si>
    <t xml:space="preserve">Placeholder: unpriced (new spec, 29 Oct 2026)</t>
  </si>
  <si>
    <t xml:space="preserve">End walls, roller door and fire exit</t>
  </si>
  <si>
    <t xml:space="preserve">Placeholder: unpriced in cost sheet v6.6</t>
  </si>
  <si>
    <t xml:space="preserve">Court tiles 14.8 × 10 m</t>
  </si>
  <si>
    <t xml:space="preserve">List price (gym-flooring.com), cost sheet v6.6</t>
  </si>
  <si>
    <t xml:space="preserve">Run-off tiles</t>
  </si>
  <si>
    <t xml:space="preserve">Desk estimate, cost sheet v6.6</t>
  </si>
  <si>
    <t xml:space="preserve">Three movable hoops</t>
  </si>
  <si>
    <t xml:space="preserve">Jamie assumption, 28 Oct 2026</t>
  </si>
  <si>
    <t xml:space="preserve">LED lighting and electrics</t>
  </si>
  <si>
    <t xml:space="preserve">Electrician £650 (desk) + lighting placeholder £3k–£6k</t>
  </si>
  <si>
    <t xml:space="preserve">Multi-sport kit and sports wheelchairs</t>
  </si>
  <si>
    <t xml:space="preserve">Placeholder: nets, paddles, dodgeballs, 2–4 sports wheelchairs</t>
  </si>
  <si>
    <t xml:space="preserve">Planning, structural and safety fees</t>
  </si>
  <si>
    <t xml:space="preserve">Planning £2,813–£3,423 (list + desk calc) + professionals placeholder £3k–£6k</t>
  </si>
  <si>
    <t xml:space="preserve">Contingency</t>
  </si>
  <si>
    <t xml:space="preserve">Total build</t>
  </si>
  <si>
    <t xml:space="preserve">Paid for by</t>
  </si>
  <si>
    <t xml:space="preserve">Indicative: Zappshelter budget £38.6k + VAT, ~£900/month over 5 years (in the model)</t>
  </si>
  <si>
    <t xml:space="preserve">Grants via a CIC</t>
  </si>
  <si>
    <t xml:space="preserve">None for Arena #1: it runs through the Ltd (Jamie, 29 Oct 2026). A CIC is considered for Arenas #2 and #3</t>
  </si>
  <si>
    <t xml:space="preserve">Sponsorship (boards, kit)</t>
  </si>
  <si>
    <t xml:space="preserve">Desk estimate: local business sponsors on the arena boards</t>
  </si>
  <si>
    <t xml:space="preserve">Still to find (cash or more grants)</t>
  </si>
  <si>
    <t xml:space="preserve">Columns pair low build with low funding, high with high</t>
  </si>
  <si>
    <t xml:space="preserve">Funding routes: who applies, for what</t>
  </si>
  <si>
    <t xml:space="preserve">Eligibility and amounts are unverified desk research (funder sites could not be checked from this session). Verify before relying on any line.</t>
  </si>
  <si>
    <t xml:space="preserve">Route</t>
  </si>
  <si>
    <t xml:space="preserve">What it pays for</t>
  </si>
  <si>
    <t xml:space="preserve">Who applies</t>
  </si>
  <si>
    <t xml:space="preserve">Typical size</t>
  </si>
  <si>
    <t xml:space="preserve">Status</t>
  </si>
  <si>
    <t xml:space="preserve">Supplier finance (Zappshelter HP or lease)</t>
  </si>
  <si>
    <t xml:space="preserve">Canopy and containers</t>
  </si>
  <si>
    <t xml:space="preserve">Hoop Heroes Ltd (or CIC)</t>
  </si>
  <si>
    <t xml:space="preserve">~£900/month over 5 years</t>
  </si>
  <si>
    <t xml:space="preserve">Indicative; terms, VAT and guarantee to confirm</t>
  </si>
  <si>
    <t xml:space="preserve">National Lottery Awards for All</t>
  </si>
  <si>
    <t xml:space="preserve">Community sessions, kit, small capital</t>
  </si>
  <si>
    <t xml:space="preserve">CIC</t>
  </si>
  <si>
    <t xml:space="preserve">Up to £20,000</t>
  </si>
  <si>
    <t xml:space="preserve">To verify; not open to profit-making companies</t>
  </si>
  <si>
    <t xml:space="preserve">Sport England Movement Fund</t>
  </si>
  <si>
    <t xml:space="preserve">Projects getting inactive groups active, incl. kit</t>
  </si>
  <si>
    <t xml:space="preserve">Up to £15,000 (often crowdfund-matched)</t>
  </si>
  <si>
    <t xml:space="preserve">To verify</t>
  </si>
  <si>
    <t xml:space="preserve">Holiday Activities and Food (Buckinghamshire Council)</t>
  </si>
  <si>
    <t xml:space="preserve">Free holiday places for eligible children</t>
  </si>
  <si>
    <t xml:space="preserve">Hoop Heroes Ltd as approved provider</t>
  </si>
  <si>
    <t xml:space="preserve">Per place per day</t>
  </si>
  <si>
    <t xml:space="preserve">To verify rate and provider route</t>
  </si>
  <si>
    <t xml:space="preserve">PE and Sport Premium (paid by the school)</t>
  </si>
  <si>
    <t xml:space="preserve">PE lesson support and teacher CPD (revenue only)</t>
  </si>
  <si>
    <t xml:space="preserve">School buys from Hoop Heroes Ltd</t>
  </si>
  <si>
    <t xml:space="preserve">£6,240 + £10 per pupil per school a year</t>
  </si>
  <si>
    <t xml:space="preserve">Actual (GOV.UK 2026/27); cannot fund the build</t>
  </si>
  <si>
    <t xml:space="preserve">Basketball England and wheelchair basketball funds</t>
  </si>
  <si>
    <t xml:space="preserve">Basketball kit, sports wheelchairs, coach courses</t>
  </si>
  <si>
    <t xml:space="preserve">CIC or affiliated club</t>
  </si>
  <si>
    <t xml:space="preserve">Small grants</t>
  </si>
  <si>
    <t xml:space="preserve">Local council community grants, Section 106 / CIL</t>
  </si>
  <si>
    <t xml:space="preserve">Facility capital in the community</t>
  </si>
  <si>
    <t xml:space="preserve">Varies</t>
  </si>
  <si>
    <t xml:space="preserve">To verify with Buckinghamshire Council</t>
  </si>
  <si>
    <t xml:space="preserve">Local business sponsorship</t>
  </si>
  <si>
    <t xml:space="preserve">Arena boards, kit, team shirts</t>
  </si>
  <si>
    <t xml:space="preserve">Hoop Heroes Ltd</t>
  </si>
  <si>
    <t xml:space="preserve">£500–£5,000 a year</t>
  </si>
  <si>
    <t xml:space="preserve">Idea</t>
  </si>
  <si>
    <t xml:space="preserve">How the two companies work together (proposal, for the accountant and solicitor)</t>
  </si>
  <si>
    <t xml:space="preserve">DECIDED (Jamie, 29 Oct 2026): Arena #1 runs through Hoop Heroes Region 1 Ltd. Once it is open and proven, look at whether a CIC helps fund Arenas #2 and #3. Goal: three Arenas. The proposal below is for that later stage.</t>
  </si>
  <si>
    <t xml:space="preserve">Heroes Arena CIC (to be formed): holds the community side. Applies for grants, runs free and community sessions (SEND, wheelchair, girls-only, free sessions), and can hold kit and grant-funded parts of the building.</t>
  </si>
  <si>
    <t xml:space="preserve">Hoop Heroes Region 1 Ltd: runs the paid programme (memberships, parties, camps, breakfast, leagues, school PE support) and pays the CIC an arm's-length fee for its use of the space and kit.</t>
  </si>
  <si>
    <t xml:space="preserve">The school licenses the site to whichever body holds the Arena; the agreement allows assignment to the CIC later.</t>
  </si>
  <si>
    <t xml:space="preserve">Questions to settle first: the CIC asset lock; whether the sports-hire VAT exemption stops the CIC reclaiming VAT on the build; Flat Rate VAT limits for the Ltd; related-party rules and an independent CIC director.</t>
  </si>
  <si>
    <t xml:space="preserve">KB position (Project Overview v0.2, decision D1): "Ltd first", forming the CIC when a named grant needs it, is recommended and awaiting Jamie.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</si>
</sst>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\£#,##0;&quot;(£&quot;#,##0\);\-"/>
    <numFmt numFmtId="168" formatCode="\£#,##0"/>
    <numFmt numFmtId="169" formatCode="d\ mmm\ yyyy"/>
    <numFmt numFmtId="170" formatCode="\£#,##0.00;&quot;(£&quot;#,##0.00\);\-"/>
    <numFmt numFmtId="171" formatCode="0.00"/>
    <numFmt numFmtId="172" formatCode="mmm\ yy"/>
    <numFmt numFmtId="173" formatCode="0"/>
    <numFmt numFmtId="174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64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64E"/>
        <bgColor rgb="FF003300"/>
      </patternFill>
    </fill>
    <fill>
      <patternFill patternType="solid">
        <fgColor rgb="FFFDE9C4"/>
        <bgColor rgb="FFD9EAD3"/>
      </patternFill>
    </fill>
    <fill>
      <patternFill patternType="solid">
        <fgColor rgb="FFD9EAD3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9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4264E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site profit: rented halls vs Heroes Arena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Summary!$B$4:$E$4</c:f>
              <c:strCache>
                <c:ptCount val="4"/>
                <c:pt idx="0">
                  <c:v>Today, rented halls (per year)</c:v>
                </c:pt>
                <c:pt idx="1">
                  <c:v>Arena Year 1</c:v>
                </c:pt>
                <c:pt idx="2">
                  <c:v>Arena Year 2</c:v>
                </c:pt>
                <c:pt idx="3">
                  <c:v>Arena Year 3</c:v>
                </c:pt>
              </c:strCache>
            </c:strRef>
          </c:cat>
          <c:val>
            <c:numRef>
              <c:f>Summary!$B$25:$E$25</c:f>
              <c:numCache>
                <c:formatCode>\£#,##0;"(£"#,##0\);\-</c:formatCode>
                <c:ptCount val="4"/>
                <c:pt idx="0">
                  <c:v>18819</c:v>
                </c:pt>
                <c:pt idx="1">
                  <c:v>50955.4575</c:v>
                </c:pt>
                <c:pt idx="2">
                  <c:v>125704.77875</c:v>
                </c:pt>
                <c:pt idx="3">
                  <c:v>195607.34</c:v>
                </c:pt>
              </c:numCache>
            </c:numRef>
          </c:val>
        </c:ser>
        <c:gapWidth val="150"/>
        <c:overlap val="0"/>
        <c:axId val="38131906"/>
        <c:axId val="70584772"/>
      </c:barChart>
      <c:catAx>
        <c:axId val="38131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84772"/>
        <c:crosses val="autoZero"/>
        <c:auto val="1"/>
        <c:lblAlgn val="ctr"/>
        <c:lblOffset val="100"/>
        <c:noMultiLvlLbl val="0"/>
      </c:catAx>
      <c:valAx>
        <c:axId val="70584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 a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319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364320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878760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4" t="str">
        <f aca="false">CONCATENATE("Case shown: ",Assumptions!$D$3,". Internal draft for discussion. Every input is labelled on the Assumptions sheet.")</f>
        <v>Case shown: Target. Internal draft for discussion. Every input is labelled on the Assumptions sheet.</v>
      </c>
    </row>
    <row r="4" customFormat="false" ht="30" hidden="false" customHeight="true" outlineLevel="0" collapsed="false">
      <c r="A4" s="5"/>
      <c r="B4" s="5" t="s">
        <v>13</v>
      </c>
      <c r="C4" s="5" t="s">
        <v>14</v>
      </c>
      <c r="D4" s="5" t="s">
        <v>15</v>
      </c>
      <c r="E4" s="5" t="s">
        <v>16</v>
      </c>
    </row>
    <row r="5" customFormat="false" ht="15" hidden="false" customHeight="false" outlineLevel="0" collapsed="false">
      <c r="A5" s="2" t="s">
        <v>17</v>
      </c>
      <c r="B5" s="6" t="n">
        <f aca="false">Assumptions!$F$100</f>
        <v>98</v>
      </c>
      <c r="C5" s="6" t="n">
        <f aca="false">Monthly!N9</f>
        <v>220</v>
      </c>
      <c r="D5" s="6" t="n">
        <f aca="false">Monthly!Z9</f>
        <v>320</v>
      </c>
      <c r="E5" s="6" t="n">
        <f aca="false">Monthly!AL9</f>
        <v>400</v>
      </c>
    </row>
    <row r="6" customFormat="false" ht="15" hidden="false" customHeight="false" outlineLevel="0" collapsed="false">
      <c r="A6" s="2" t="s">
        <v>18</v>
      </c>
      <c r="B6" s="6" t="n">
        <f aca="false">Assumptions!$F$102</f>
        <v>5</v>
      </c>
      <c r="C6" s="6" t="n">
        <f aca="false">Monthly!N13</f>
        <v>18</v>
      </c>
      <c r="D6" s="6" t="n">
        <f aca="false">Monthly!Z13</f>
        <v>26</v>
      </c>
      <c r="E6" s="6" t="n">
        <f aca="false">Monthly!AL13</f>
        <v>32</v>
      </c>
    </row>
    <row r="7" customFormat="false" ht="15" hidden="false" customHeight="false" outlineLevel="0" collapsed="false">
      <c r="A7" s="2" t="s">
        <v>19</v>
      </c>
      <c r="B7" s="7"/>
      <c r="C7" s="7" t="n">
        <f aca="false">Monthly!N60</f>
        <v>0.583333333333333</v>
      </c>
      <c r="D7" s="7" t="n">
        <f aca="false">Monthly!Z60</f>
        <v>0.794444444444444</v>
      </c>
      <c r="E7" s="7" t="n">
        <f aca="false">Monthly!AL60</f>
        <v>0.961111111111111</v>
      </c>
    </row>
    <row r="9" customFormat="false" ht="15" hidden="false" customHeight="false" outlineLevel="0" collapsed="false">
      <c r="A9" s="3" t="s">
        <v>20</v>
      </c>
    </row>
    <row r="10" customFormat="false" ht="15" hidden="false" customHeight="false" outlineLevel="0" collapsed="false">
      <c r="A10" s="2" t="s">
        <v>21</v>
      </c>
      <c r="B10" s="8" t="n">
        <f aca="false">Assumptions!$F$100*Assumptions!$F$12*12*(1-Assumptions!$F$21)</f>
        <v>37661.4</v>
      </c>
      <c r="C10" s="8" t="n">
        <f aca="false">SUMIF(Monthly!$C$5:$AL$5,1,Monthly!$C$16:$AL$16)+SUMIF(Monthly!$C$5:$AL$5,1,Monthly!$C$17:$AL$17)+SUMIF(Monthly!$C$5:$AL$5,1,Monthly!$C$18:$AL$18)+SUMIF(Monthly!$C$5:$AL$5,1,Monthly!$C$19:$AL$19)</f>
        <v>87385.7025</v>
      </c>
      <c r="D10" s="8" t="n">
        <f aca="false">SUMIF(Monthly!$C$5:$AL$5,2,Monthly!$C$16:$AL$16)+SUMIF(Monthly!$C$5:$AL$5,2,Monthly!$C$17:$AL$17)+SUMIF(Monthly!$C$5:$AL$5,2,Monthly!$C$18:$AL$18)+SUMIF(Monthly!$C$5:$AL$5,2,Monthly!$C$19:$AL$19)</f>
        <v>141211.26375</v>
      </c>
      <c r="E10" s="8" t="n">
        <f aca="false">SUMIF(Monthly!$C$5:$AL$5,3,Monthly!$C$16:$AL$16)+SUMIF(Monthly!$C$5:$AL$5,3,Monthly!$C$17:$AL$17)+SUMIF(Monthly!$C$5:$AL$5,3,Monthly!$C$18:$AL$18)+SUMIF(Monthly!$C$5:$AL$5,3,Monthly!$C$19:$AL$19)</f>
        <v>185028.555</v>
      </c>
    </row>
    <row r="11" customFormat="false" ht="15" hidden="false" customHeight="false" outlineLevel="0" collapsed="false">
      <c r="A11" s="2" t="s">
        <v>22</v>
      </c>
      <c r="B11" s="8" t="n">
        <v>0</v>
      </c>
      <c r="C11" s="8" t="n">
        <f aca="false">SUMIF(Monthly!$C$5:$AL$5,1,Monthly!$C$20:$AL$20)+SUMIF(Monthly!$C$5:$AL$5,1,Monthly!$C$21:$AL$21)</f>
        <v>20450.25</v>
      </c>
      <c r="D11" s="8" t="n">
        <f aca="false">SUMIF(Monthly!$C$5:$AL$5,2,Monthly!$C$20:$AL$20)+SUMIF(Monthly!$C$5:$AL$5,2,Monthly!$C$21:$AL$21)</f>
        <v>33351.75</v>
      </c>
      <c r="E11" s="8" t="n">
        <f aca="false">SUMIF(Monthly!$C$5:$AL$5,3,Monthly!$C$20:$AL$20)+SUMIF(Monthly!$C$5:$AL$5,3,Monthly!$C$21:$AL$21)</f>
        <v>46253.25</v>
      </c>
    </row>
    <row r="12" customFormat="false" ht="15" hidden="false" customHeight="false" outlineLevel="0" collapsed="false">
      <c r="A12" s="2" t="s">
        <v>23</v>
      </c>
      <c r="B12" s="8" t="n">
        <v>0</v>
      </c>
      <c r="C12" s="8" t="n">
        <f aca="false">SUMIF(Monthly!$C$5:$AL$5,1,Monthly!$C$22:$AL$22)+SUMIF(Monthly!$C$5:$AL$5,1,Monthly!$C$23:$AL$23)</f>
        <v>33979.5</v>
      </c>
      <c r="D12" s="8" t="n">
        <f aca="false">SUMIF(Monthly!$C$5:$AL$5,2,Monthly!$C$22:$AL$22)+SUMIF(Monthly!$C$5:$AL$5,2,Monthly!$C$23:$AL$23)</f>
        <v>64456.95</v>
      </c>
      <c r="E12" s="8" t="n">
        <f aca="false">SUMIF(Monthly!$C$5:$AL$5,3,Monthly!$C$22:$AL$22)+SUMIF(Monthly!$C$5:$AL$5,3,Monthly!$C$23:$AL$23)</f>
        <v>89938.5</v>
      </c>
    </row>
    <row r="13" customFormat="false" ht="15" hidden="false" customHeight="false" outlineLevel="0" collapsed="false">
      <c r="A13" s="2" t="s">
        <v>24</v>
      </c>
      <c r="B13" s="8" t="n">
        <v>0</v>
      </c>
      <c r="C13" s="8" t="n">
        <f aca="false">SUMIF(Monthly!$C$5:$AL$5,1,Monthly!$C$24:$AL$24)+SUMIF(Monthly!$C$5:$AL$5,1,Monthly!$C$25:$AL$25)</f>
        <v>17760.15</v>
      </c>
      <c r="D13" s="8" t="n">
        <f aca="false">SUMIF(Monthly!$C$5:$AL$5,2,Monthly!$C$24:$AL$24)+SUMIF(Monthly!$C$5:$AL$5,2,Monthly!$C$25:$AL$25)</f>
        <v>28616.625</v>
      </c>
      <c r="E13" s="8" t="n">
        <f aca="false">SUMIF(Monthly!$C$5:$AL$5,3,Monthly!$C$24:$AL$24)+SUMIF(Monthly!$C$5:$AL$5,3,Monthly!$C$25:$AL$25)</f>
        <v>38155.5</v>
      </c>
    </row>
    <row r="14" customFormat="false" ht="15" hidden="false" customHeight="false" outlineLevel="0" collapsed="false">
      <c r="A14" s="2" t="s">
        <v>25</v>
      </c>
      <c r="B14" s="8" t="n">
        <v>0</v>
      </c>
      <c r="C14" s="8" t="n">
        <f aca="false">SUMIF(Monthly!$C$5:$AL$5,1,Monthly!$C$26:$AL$26)+SUMIF(Monthly!$C$5:$AL$5,1,Monthly!$C$27:$AL$27)+SUMIF(Monthly!$C$5:$AL$5,1,Monthly!$C$28:$AL$28)</f>
        <v>4575</v>
      </c>
      <c r="D14" s="8" t="n">
        <f aca="false">SUMIF(Monthly!$C$5:$AL$5,2,Monthly!$C$26:$AL$26)+SUMIF(Monthly!$C$5:$AL$5,2,Monthly!$C$27:$AL$27)+SUMIF(Monthly!$C$5:$AL$5,2,Monthly!$C$28:$AL$28)</f>
        <v>14670</v>
      </c>
      <c r="E14" s="8" t="n">
        <f aca="false">SUMIF(Monthly!$C$5:$AL$5,3,Monthly!$C$26:$AL$26)+SUMIF(Monthly!$C$5:$AL$5,3,Monthly!$C$27:$AL$27)+SUMIF(Monthly!$C$5:$AL$5,3,Monthly!$C$28:$AL$28)</f>
        <v>20475</v>
      </c>
    </row>
    <row r="15" customFormat="false" ht="15" hidden="false" customHeight="false" outlineLevel="0" collapsed="false">
      <c r="A15" s="9" t="s">
        <v>26</v>
      </c>
      <c r="B15" s="10" t="n">
        <f aca="false">SUM(B10:B14)</f>
        <v>37661.4</v>
      </c>
      <c r="C15" s="10" t="n">
        <f aca="false">SUM(C10:C14)</f>
        <v>164150.6025</v>
      </c>
      <c r="D15" s="10" t="n">
        <f aca="false">SUM(D10:D14)</f>
        <v>282306.58875</v>
      </c>
      <c r="E15" s="10" t="n">
        <f aca="false">SUM(E10:E14)</f>
        <v>379850.805</v>
      </c>
    </row>
    <row r="17" customFormat="false" ht="15" hidden="false" customHeight="false" outlineLevel="0" collapsed="false">
      <c r="A17" s="3" t="s">
        <v>27</v>
      </c>
    </row>
    <row r="18" customFormat="false" ht="15" hidden="false" customHeight="false" outlineLevel="0" collapsed="false">
      <c r="A18" s="2" t="s">
        <v>28</v>
      </c>
      <c r="B18" s="8" t="n">
        <f aca="false">Assumptions!$F$102*Assumptions!$F$20*Assumptions!$F$28+B10/(1-Assumptions!$F$21)*Assumptions!$F$22</f>
        <v>11548.2</v>
      </c>
      <c r="C18" s="8" t="n">
        <f aca="false">SUMIF(Monthly!$C$5:$AL$5,1,Monthly!$C$41:$AL$41)</f>
        <v>77045.145</v>
      </c>
      <c r="D18" s="8" t="n">
        <f aca="false">SUMIF(Monthly!$C$5:$AL$5,2,Monthly!$C$41:$AL$41)</f>
        <v>120451.81</v>
      </c>
      <c r="E18" s="8" t="n">
        <f aca="false">SUMIF(Monthly!$C$5:$AL$5,3,Monthly!$C$41:$AL$41)</f>
        <v>148093.465</v>
      </c>
    </row>
    <row r="19" customFormat="false" ht="15" hidden="false" customHeight="false" outlineLevel="0" collapsed="false">
      <c r="A19" s="2" t="s">
        <v>29</v>
      </c>
      <c r="B19" s="8" t="n">
        <f aca="false">Assumptions!$F$101*12</f>
        <v>7294.2</v>
      </c>
      <c r="C19" s="8" t="n">
        <f aca="false">0</f>
        <v>0</v>
      </c>
      <c r="D19" s="8" t="n">
        <f aca="false">0</f>
        <v>0</v>
      </c>
      <c r="E19" s="8" t="n">
        <f aca="false">0</f>
        <v>0</v>
      </c>
    </row>
    <row r="20" customFormat="false" ht="15" hidden="false" customHeight="false" outlineLevel="0" collapsed="false">
      <c r="A20" s="2" t="s">
        <v>30</v>
      </c>
      <c r="B20" s="8" t="n">
        <v>0</v>
      </c>
      <c r="C20" s="8" t="n">
        <f aca="false">SUMIF(Monthly!$C$5:$AL$5,1,Monthly!$C$46:$AL$46)</f>
        <v>10800</v>
      </c>
      <c r="D20" s="8" t="n">
        <f aca="false">SUMIF(Monthly!$C$5:$AL$5,2,Monthly!$C$46:$AL$46)</f>
        <v>10800</v>
      </c>
      <c r="E20" s="8" t="n">
        <f aca="false">SUMIF(Monthly!$C$5:$AL$5,3,Monthly!$C$46:$AL$46)</f>
        <v>10800</v>
      </c>
    </row>
    <row r="21" customFormat="false" ht="15" hidden="false" customHeight="false" outlineLevel="0" collapsed="false">
      <c r="A21" s="2" t="s">
        <v>31</v>
      </c>
      <c r="B21" s="8" t="n">
        <v>0</v>
      </c>
      <c r="C21" s="8" t="n">
        <f aca="false">SUMIF(Monthly!$C$5:$AL$5,1,Monthly!$C$47:$AL$47)+SUMIF(Monthly!$C$5:$AL$5,1,Monthly!$C$48:$AL$48)+SUMIF(Monthly!$C$5:$AL$5,1,Monthly!$C$49:$AL$49)</f>
        <v>16550</v>
      </c>
      <c r="D21" s="8" t="n">
        <f aca="false">SUMIF(Monthly!$C$5:$AL$5,2,Monthly!$C$47:$AL$47)+SUMIF(Monthly!$C$5:$AL$5,2,Monthly!$C$48:$AL$48)+SUMIF(Monthly!$C$5:$AL$5,2,Monthly!$C$49:$AL$49)</f>
        <v>16550</v>
      </c>
      <c r="E21" s="8" t="n">
        <f aca="false">SUMIF(Monthly!$C$5:$AL$5,3,Monthly!$C$47:$AL$47)+SUMIF(Monthly!$C$5:$AL$5,3,Monthly!$C$48:$AL$48)+SUMIF(Monthly!$C$5:$AL$5,3,Monthly!$C$49:$AL$49)</f>
        <v>16550</v>
      </c>
    </row>
    <row r="22" customFormat="false" ht="15" hidden="false" customHeight="false" outlineLevel="0" collapsed="false">
      <c r="A22" s="2" t="s">
        <v>32</v>
      </c>
      <c r="B22" s="8" t="n">
        <v>0</v>
      </c>
      <c r="C22" s="8" t="n">
        <f aca="false">SUMIF(Monthly!$C$5:$AL$5,1,Monthly!$C$50:$AL$50)+SUMIF(Monthly!$C$5:$AL$5,1,Monthly!$C$51:$AL$51)+SUMIF(Monthly!$C$5:$AL$5,1,Monthly!$C$52:$AL$52)</f>
        <v>8800</v>
      </c>
      <c r="D22" s="8" t="n">
        <f aca="false">SUMIF(Monthly!$C$5:$AL$5,2,Monthly!$C$50:$AL$50)+SUMIF(Monthly!$C$5:$AL$5,2,Monthly!$C$51:$AL$51)+SUMIF(Monthly!$C$5:$AL$5,2,Monthly!$C$52:$AL$52)</f>
        <v>8800</v>
      </c>
      <c r="E22" s="8" t="n">
        <f aca="false">SUMIF(Monthly!$C$5:$AL$5,3,Monthly!$C$50:$AL$50)+SUMIF(Monthly!$C$5:$AL$5,3,Monthly!$C$51:$AL$51)+SUMIF(Monthly!$C$5:$AL$5,3,Monthly!$C$52:$AL$52)</f>
        <v>8800</v>
      </c>
    </row>
    <row r="23" customFormat="false" ht="15" hidden="false" customHeight="false" outlineLevel="0" collapsed="false">
      <c r="A23" s="9" t="s">
        <v>33</v>
      </c>
      <c r="B23" s="10" t="n">
        <f aca="false">SUM(B18:B22)</f>
        <v>18842.4</v>
      </c>
      <c r="C23" s="10" t="n">
        <f aca="false">SUM(C18:C22)</f>
        <v>113195.145</v>
      </c>
      <c r="D23" s="10" t="n">
        <f aca="false">SUM(D18:D22)</f>
        <v>156601.81</v>
      </c>
      <c r="E23" s="10" t="n">
        <f aca="false">SUM(E18:E22)</f>
        <v>184243.465</v>
      </c>
    </row>
    <row r="25" customFormat="false" ht="15" hidden="false" customHeight="false" outlineLevel="0" collapsed="false">
      <c r="A25" s="11" t="s">
        <v>34</v>
      </c>
      <c r="B25" s="12" t="n">
        <f aca="false">B15-B23</f>
        <v>18819</v>
      </c>
      <c r="C25" s="12" t="n">
        <f aca="false">C15-C23</f>
        <v>50955.4575</v>
      </c>
      <c r="D25" s="12" t="n">
        <f aca="false">D15-D23</f>
        <v>125704.77875</v>
      </c>
      <c r="E25" s="12" t="n">
        <f aca="false">E15-E23</f>
        <v>195607.34</v>
      </c>
    </row>
    <row r="26" customFormat="false" ht="15" hidden="false" customHeight="false" outlineLevel="0" collapsed="false">
      <c r="A26" s="2" t="s">
        <v>35</v>
      </c>
      <c r="B26" s="7" t="n">
        <f aca="false">IF(B15=0,0,B25/B15)</f>
        <v>0.499689337093151</v>
      </c>
      <c r="C26" s="7" t="n">
        <f aca="false">IF(C15=0,0,C25/C15)</f>
        <v>0.310418948964869</v>
      </c>
      <c r="D26" s="7" t="n">
        <f aca="false">IF(D15=0,0,D25/D15)</f>
        <v>0.44527752365468</v>
      </c>
      <c r="E26" s="7" t="n">
        <f aca="false">IF(E15=0,0,E25/E15)</f>
        <v>0.514958340025105</v>
      </c>
    </row>
    <row r="27" customFormat="false" ht="15" hidden="false" customHeight="false" outlineLevel="0" collapsed="false">
      <c r="A27" s="3" t="s">
        <v>36</v>
      </c>
      <c r="B27" s="13"/>
      <c r="C27" s="13" t="n">
        <f aca="false">C25-$B$25</f>
        <v>32136.4575</v>
      </c>
      <c r="D27" s="13" t="n">
        <f aca="false">D25-$B$25</f>
        <v>106885.77875</v>
      </c>
      <c r="E27" s="13" t="n">
        <f aca="false">E25-$B$25</f>
        <v>176788.34</v>
      </c>
    </row>
    <row r="28" customFormat="false" ht="15" hidden="false" customHeight="false" outlineLevel="0" collapsed="false">
      <c r="A28" s="2" t="s">
        <v>37</v>
      </c>
      <c r="B28" s="8" t="n">
        <f aca="false">IF(B5=0,0,B15/B5)</f>
        <v>384.3</v>
      </c>
      <c r="C28" s="8" t="n">
        <f aca="false">IF(C5=0,0,C15/C5)</f>
        <v>746.139102272727</v>
      </c>
      <c r="D28" s="8" t="n">
        <f aca="false">IF(D5=0,0,D15/D5)</f>
        <v>882.20808984375</v>
      </c>
      <c r="E28" s="8" t="n">
        <f aca="false">IF(E5=0,0,E15/E5)</f>
        <v>949.6270125</v>
      </c>
    </row>
    <row r="30" customFormat="false" ht="15" hidden="false" customHeight="false" outlineLevel="0" collapsed="false">
      <c r="A30" s="3" t="s">
        <v>38</v>
      </c>
    </row>
    <row r="31" customFormat="false" ht="15" hidden="false" customHeight="false" outlineLevel="0" collapsed="false">
      <c r="A31" s="4" t="s">
        <v>39</v>
      </c>
    </row>
    <row r="32" customFormat="false" ht="15" hidden="false" customHeight="false" outlineLevel="0" collapsed="false">
      <c r="A32" s="4" t="s">
        <v>40</v>
      </c>
    </row>
    <row r="33" customFormat="false" ht="15" hidden="false" customHeight="false" outlineLevel="0" collapsed="false">
      <c r="A33" s="4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false" outlineLevel="0" collapsed="false">
      <c r="A35" s="4" t="s">
        <v>43</v>
      </c>
    </row>
    <row r="36" customFormat="false" ht="15" hidden="false" customHeight="false" outlineLevel="0" collapsed="false">
      <c r="A36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15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4" t="s">
        <v>46</v>
      </c>
    </row>
    <row r="3" customFormat="false" ht="15" hidden="false" customHeight="false" outlineLevel="0" collapsed="false">
      <c r="A3" s="3" t="s">
        <v>47</v>
      </c>
      <c r="C3" s="14" t="n">
        <v>3</v>
      </c>
      <c r="D3" s="3" t="str">
        <f aca="false">CHOOSE($C$3,"Downside","Cautious","Target")</f>
        <v>Target</v>
      </c>
    </row>
    <row r="5" customFormat="false" ht="15" hidden="false" customHeight="false" outlineLevel="0" collapsed="false">
      <c r="A5" s="15" t="s">
        <v>48</v>
      </c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</row>
    <row r="6" customFormat="false" ht="15" hidden="false" customHeight="false" outlineLevel="0" collapsed="false">
      <c r="A6" s="9" t="s">
        <v>55</v>
      </c>
      <c r="B6" s="16"/>
      <c r="C6" s="16"/>
      <c r="D6" s="16"/>
      <c r="E6" s="16"/>
      <c r="F6" s="16"/>
      <c r="G6" s="16"/>
    </row>
    <row r="7" customFormat="false" ht="15" hidden="false" customHeight="false" outlineLevel="0" collapsed="false">
      <c r="A7" s="2" t="s">
        <v>56</v>
      </c>
      <c r="B7" s="2" t="s">
        <v>57</v>
      </c>
      <c r="C7" s="17" t="n">
        <v>46631</v>
      </c>
      <c r="D7" s="17" t="n">
        <v>46631</v>
      </c>
      <c r="E7" s="17" t="n">
        <v>46631</v>
      </c>
      <c r="F7" s="18" t="n">
        <f aca="false">CHOOSE($C$3,C7,D7,E7)</f>
        <v>46631</v>
      </c>
      <c r="G7" s="4" t="s">
        <v>58</v>
      </c>
    </row>
    <row r="8" customFormat="false" ht="15" hidden="false" customHeight="false" outlineLevel="0" collapsed="false">
      <c r="A8" s="2" t="s">
        <v>59</v>
      </c>
      <c r="B8" s="2" t="s">
        <v>60</v>
      </c>
      <c r="C8" s="19" t="n">
        <v>78</v>
      </c>
      <c r="D8" s="19" t="n">
        <v>100</v>
      </c>
      <c r="E8" s="19" t="n">
        <v>100</v>
      </c>
      <c r="F8" s="20" t="n">
        <f aca="false">CHOOSE($C$3,C8,D8,E8)</f>
        <v>100</v>
      </c>
      <c r="G8" s="4" t="s">
        <v>61</v>
      </c>
    </row>
    <row r="9" customFormat="false" ht="15" hidden="false" customHeight="false" outlineLevel="0" collapsed="false">
      <c r="A9" s="2" t="s">
        <v>62</v>
      </c>
      <c r="B9" s="2" t="s">
        <v>60</v>
      </c>
      <c r="C9" s="19" t="n">
        <v>110</v>
      </c>
      <c r="D9" s="19" t="n">
        <v>150</v>
      </c>
      <c r="E9" s="19" t="n">
        <v>220</v>
      </c>
      <c r="F9" s="20" t="n">
        <f aca="false">CHOOSE($C$3,C9,D9,E9)</f>
        <v>220</v>
      </c>
      <c r="G9" s="4" t="s">
        <v>63</v>
      </c>
    </row>
    <row r="10" customFormat="false" ht="15" hidden="false" customHeight="false" outlineLevel="0" collapsed="false">
      <c r="A10" s="2" t="s">
        <v>64</v>
      </c>
      <c r="B10" s="2" t="s">
        <v>60</v>
      </c>
      <c r="C10" s="19" t="n">
        <v>140</v>
      </c>
      <c r="D10" s="19" t="n">
        <v>200</v>
      </c>
      <c r="E10" s="19" t="n">
        <v>320</v>
      </c>
      <c r="F10" s="20" t="n">
        <f aca="false">CHOOSE($C$3,C10,D10,E10)</f>
        <v>320</v>
      </c>
      <c r="G10" s="4" t="s">
        <v>63</v>
      </c>
    </row>
    <row r="11" customFormat="false" ht="15" hidden="false" customHeight="false" outlineLevel="0" collapsed="false">
      <c r="A11" s="2" t="s">
        <v>65</v>
      </c>
      <c r="B11" s="2" t="s">
        <v>60</v>
      </c>
      <c r="C11" s="19" t="n">
        <v>170</v>
      </c>
      <c r="D11" s="19" t="n">
        <v>250</v>
      </c>
      <c r="E11" s="19" t="n">
        <v>400</v>
      </c>
      <c r="F11" s="20" t="n">
        <f aca="false">CHOOSE($C$3,C11,D11,E11)</f>
        <v>400</v>
      </c>
      <c r="G11" s="4" t="s">
        <v>66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21" t="n">
        <v>35</v>
      </c>
      <c r="D12" s="21" t="n">
        <v>35</v>
      </c>
      <c r="E12" s="21" t="n">
        <v>35</v>
      </c>
      <c r="F12" s="22" t="n">
        <f aca="false">CHOOSE($C$3,C12,D12,E12)</f>
        <v>35</v>
      </c>
      <c r="G12" s="4" t="s">
        <v>69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23" t="n">
        <v>0.15</v>
      </c>
      <c r="D13" s="23" t="n">
        <v>0.2</v>
      </c>
      <c r="E13" s="23" t="n">
        <v>0.25</v>
      </c>
      <c r="F13" s="24" t="n">
        <f aca="false">CHOOSE($C$3,C13,D13,E13)</f>
        <v>0.25</v>
      </c>
      <c r="G13" s="4" t="s">
        <v>72</v>
      </c>
    </row>
    <row r="14" customFormat="false" ht="15" hidden="false" customHeight="false" outlineLevel="0" collapsed="false">
      <c r="A14" s="2" t="s">
        <v>73</v>
      </c>
      <c r="B14" s="2" t="s">
        <v>68</v>
      </c>
      <c r="C14" s="21" t="n">
        <v>25</v>
      </c>
      <c r="D14" s="21" t="n">
        <v>25</v>
      </c>
      <c r="E14" s="21" t="n">
        <v>25</v>
      </c>
      <c r="F14" s="22" t="n">
        <f aca="false">CHOOSE($C$3,C14,D14,E14)</f>
        <v>25</v>
      </c>
      <c r="G14" s="4" t="s">
        <v>74</v>
      </c>
    </row>
    <row r="15" customFormat="false" ht="15" hidden="false" customHeight="false" outlineLevel="0" collapsed="false">
      <c r="A15" s="2" t="s">
        <v>75</v>
      </c>
      <c r="B15" s="2" t="s">
        <v>71</v>
      </c>
      <c r="C15" s="23" t="n">
        <v>0.03</v>
      </c>
      <c r="D15" s="23" t="n">
        <v>0.05</v>
      </c>
      <c r="E15" s="23" t="n">
        <v>0.08</v>
      </c>
      <c r="F15" s="24" t="n">
        <f aca="false">CHOOSE($C$3,C15,D15,E15)</f>
        <v>0.08</v>
      </c>
      <c r="G15" s="4" t="s">
        <v>76</v>
      </c>
    </row>
    <row r="16" customFormat="false" ht="15" hidden="false" customHeight="false" outlineLevel="0" collapsed="false">
      <c r="A16" s="2" t="s">
        <v>77</v>
      </c>
      <c r="B16" s="2" t="s">
        <v>68</v>
      </c>
      <c r="C16" s="21" t="n">
        <v>40</v>
      </c>
      <c r="D16" s="21" t="n">
        <v>40</v>
      </c>
      <c r="E16" s="21" t="n">
        <v>40</v>
      </c>
      <c r="F16" s="22" t="n">
        <f aca="false">CHOOSE($C$3,C16,D16,E16)</f>
        <v>40</v>
      </c>
      <c r="G16" s="4" t="s">
        <v>74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5" t="n">
        <v>45</v>
      </c>
      <c r="D17" s="25" t="n">
        <v>45</v>
      </c>
      <c r="E17" s="25" t="n">
        <v>45</v>
      </c>
      <c r="F17" s="13" t="n">
        <f aca="false">CHOOSE($C$3,C17,D17,E17)</f>
        <v>45</v>
      </c>
      <c r="G17" s="4" t="s">
        <v>80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3" t="n">
        <v>0.025</v>
      </c>
      <c r="D18" s="23" t="n">
        <v>0.025</v>
      </c>
      <c r="E18" s="23" t="n">
        <v>0.025</v>
      </c>
      <c r="F18" s="24" t="n">
        <f aca="false">CHOOSE($C$3,C18,D18,E18)</f>
        <v>0.025</v>
      </c>
      <c r="G18" s="4" t="s">
        <v>83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19" t="n">
        <v>18</v>
      </c>
      <c r="D19" s="19" t="n">
        <v>18</v>
      </c>
      <c r="E19" s="19" t="n">
        <v>18</v>
      </c>
      <c r="F19" s="20" t="n">
        <f aca="false">CHOOSE($C$3,C19,D19,E19)</f>
        <v>18</v>
      </c>
      <c r="G19" s="4" t="s">
        <v>86</v>
      </c>
    </row>
    <row r="20" customFormat="false" ht="15" hidden="false" customHeight="false" outlineLevel="0" collapsed="false">
      <c r="A20" s="2" t="s">
        <v>87</v>
      </c>
      <c r="B20" s="2" t="s">
        <v>88</v>
      </c>
      <c r="C20" s="19" t="n">
        <v>39</v>
      </c>
      <c r="D20" s="19" t="n">
        <v>39</v>
      </c>
      <c r="E20" s="19" t="n">
        <v>39</v>
      </c>
      <c r="F20" s="20" t="n">
        <f aca="false">CHOOSE($C$3,C20,D20,E20)</f>
        <v>39</v>
      </c>
      <c r="G20" s="4" t="s">
        <v>89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3" t="n">
        <v>0.085</v>
      </c>
      <c r="D21" s="23" t="n">
        <v>0.085</v>
      </c>
      <c r="E21" s="23" t="n">
        <v>0.085</v>
      </c>
      <c r="F21" s="24" t="n">
        <f aca="false">CHOOSE($C$3,C21,D21,E21)</f>
        <v>0.085</v>
      </c>
      <c r="G21" s="4" t="s">
        <v>92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3" t="n">
        <v>0.02</v>
      </c>
      <c r="D22" s="23" t="n">
        <v>0.02</v>
      </c>
      <c r="E22" s="23" t="n">
        <v>0.02</v>
      </c>
      <c r="F22" s="24" t="n">
        <f aca="false">CHOOSE($C$3,C22,D22,E22)</f>
        <v>0.02</v>
      </c>
      <c r="G22" s="4" t="s">
        <v>95</v>
      </c>
    </row>
    <row r="23" customFormat="false" ht="15" hidden="false" customHeight="false" outlineLevel="0" collapsed="false">
      <c r="A23" s="9" t="s">
        <v>96</v>
      </c>
      <c r="B23" s="16"/>
      <c r="C23" s="16"/>
      <c r="D23" s="16"/>
      <c r="E23" s="16"/>
      <c r="F23" s="16"/>
      <c r="G23" s="16"/>
    </row>
    <row r="24" customFormat="false" ht="15" hidden="false" customHeight="false" outlineLevel="0" collapsed="false">
      <c r="A24" s="2" t="s">
        <v>97</v>
      </c>
      <c r="B24" s="2" t="s">
        <v>98</v>
      </c>
      <c r="C24" s="21" t="n">
        <v>25</v>
      </c>
      <c r="D24" s="21" t="n">
        <v>25</v>
      </c>
      <c r="E24" s="21" t="n">
        <v>25</v>
      </c>
      <c r="F24" s="22" t="n">
        <f aca="false">CHOOSE($C$3,C24,D24,E24)</f>
        <v>25</v>
      </c>
      <c r="G24" s="4" t="s">
        <v>74</v>
      </c>
    </row>
    <row r="25" customFormat="false" ht="15" hidden="false" customHeight="false" outlineLevel="0" collapsed="false">
      <c r="A25" s="2" t="s">
        <v>99</v>
      </c>
      <c r="B25" s="2" t="s">
        <v>98</v>
      </c>
      <c r="C25" s="21" t="n">
        <v>15</v>
      </c>
      <c r="D25" s="21" t="n">
        <v>15</v>
      </c>
      <c r="E25" s="21" t="n">
        <v>15</v>
      </c>
      <c r="F25" s="22" t="n">
        <f aca="false">CHOOSE($C$3,C25,D25,E25)</f>
        <v>15</v>
      </c>
      <c r="G25" s="4" t="s">
        <v>74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6" t="n">
        <v>1.25</v>
      </c>
      <c r="D26" s="26" t="n">
        <v>1.25</v>
      </c>
      <c r="E26" s="26" t="n">
        <v>1.25</v>
      </c>
      <c r="F26" s="27" t="n">
        <f aca="false">CHOOSE($C$3,C26,D26,E26)</f>
        <v>1.25</v>
      </c>
      <c r="G26" s="4" t="s">
        <v>102</v>
      </c>
    </row>
    <row r="27" customFormat="false" ht="15" hidden="false" customHeight="false" outlineLevel="0" collapsed="false">
      <c r="A27" s="2" t="s">
        <v>103</v>
      </c>
      <c r="B27" s="2" t="s">
        <v>104</v>
      </c>
      <c r="C27" s="23" t="n">
        <v>0.1</v>
      </c>
      <c r="D27" s="23" t="n">
        <v>0.1</v>
      </c>
      <c r="E27" s="23" t="n">
        <v>0.1</v>
      </c>
      <c r="F27" s="24" t="n">
        <f aca="false">CHOOSE($C$3,C27,D27,E27)</f>
        <v>0.1</v>
      </c>
      <c r="G27" s="4" t="s">
        <v>105</v>
      </c>
    </row>
    <row r="28" customFormat="false" ht="15" hidden="false" customHeight="false" outlineLevel="0" collapsed="false">
      <c r="A28" s="2" t="s">
        <v>106</v>
      </c>
      <c r="B28" s="2" t="s">
        <v>107</v>
      </c>
      <c r="C28" s="28" t="n">
        <f aca="false">(C24+C25)*C26*(1+C27)</f>
        <v>55</v>
      </c>
      <c r="D28" s="28" t="n">
        <f aca="false">(D24+D25)*D26*(1+D27)</f>
        <v>55</v>
      </c>
      <c r="E28" s="28" t="n">
        <f aca="false">(E24+E25)*E26*(1+E27)</f>
        <v>55</v>
      </c>
      <c r="F28" s="22" t="n">
        <f aca="false">(F24+F25)*F26*(1+F27)</f>
        <v>55</v>
      </c>
      <c r="G28" s="4" t="s">
        <v>108</v>
      </c>
    </row>
    <row r="29" customFormat="false" ht="15" hidden="false" customHeight="false" outlineLevel="0" collapsed="false">
      <c r="A29" s="2" t="s">
        <v>109</v>
      </c>
      <c r="B29" s="2" t="s">
        <v>101</v>
      </c>
      <c r="C29" s="19" t="n">
        <v>45</v>
      </c>
      <c r="D29" s="19" t="n">
        <v>45</v>
      </c>
      <c r="E29" s="19" t="n">
        <v>45</v>
      </c>
      <c r="F29" s="20" t="n">
        <f aca="false">CHOOSE($C$3,C29,D29,E29)</f>
        <v>45</v>
      </c>
      <c r="G29" s="4" t="s">
        <v>110</v>
      </c>
    </row>
    <row r="30" customFormat="false" ht="15" hidden="false" customHeight="false" outlineLevel="0" collapsed="false">
      <c r="A30" s="9" t="s">
        <v>111</v>
      </c>
      <c r="B30" s="16"/>
      <c r="C30" s="16"/>
      <c r="D30" s="16"/>
      <c r="E30" s="16"/>
      <c r="F30" s="16"/>
      <c r="G30" s="16"/>
    </row>
    <row r="31" customFormat="false" ht="15" hidden="false" customHeight="false" outlineLevel="0" collapsed="false">
      <c r="A31" s="2" t="s">
        <v>112</v>
      </c>
      <c r="B31" s="2" t="s">
        <v>113</v>
      </c>
      <c r="C31" s="25" t="n">
        <v>225</v>
      </c>
      <c r="D31" s="25" t="n">
        <v>225</v>
      </c>
      <c r="E31" s="25" t="n">
        <v>225</v>
      </c>
      <c r="F31" s="13" t="n">
        <f aca="false">CHOOSE($C$3,C31,D31,E31)</f>
        <v>225</v>
      </c>
      <c r="G31" s="4" t="s">
        <v>114</v>
      </c>
    </row>
    <row r="32" customFormat="false" ht="15" hidden="false" customHeight="false" outlineLevel="0" collapsed="false">
      <c r="A32" s="2" t="s">
        <v>115</v>
      </c>
      <c r="B32" s="2" t="s">
        <v>116</v>
      </c>
      <c r="C32" s="19" t="n">
        <v>0.5</v>
      </c>
      <c r="D32" s="19" t="n">
        <v>1</v>
      </c>
      <c r="E32" s="19" t="n">
        <v>1.5</v>
      </c>
      <c r="F32" s="20" t="n">
        <f aca="false">CHOOSE($C$3,C32,D32,E32)</f>
        <v>1.5</v>
      </c>
      <c r="G32" s="4" t="s">
        <v>76</v>
      </c>
    </row>
    <row r="33" customFormat="false" ht="15" hidden="false" customHeight="false" outlineLevel="0" collapsed="false">
      <c r="A33" s="2" t="s">
        <v>117</v>
      </c>
      <c r="B33" s="2" t="s">
        <v>116</v>
      </c>
      <c r="C33" s="19" t="n">
        <v>1</v>
      </c>
      <c r="D33" s="19" t="n">
        <v>1.5</v>
      </c>
      <c r="E33" s="19" t="n">
        <v>2.5</v>
      </c>
      <c r="F33" s="20" t="n">
        <f aca="false">CHOOSE($C$3,C33,D33,E33)</f>
        <v>2.5</v>
      </c>
      <c r="G33" s="4" t="s">
        <v>76</v>
      </c>
    </row>
    <row r="34" customFormat="false" ht="15" hidden="false" customHeight="false" outlineLevel="0" collapsed="false">
      <c r="A34" s="2" t="s">
        <v>118</v>
      </c>
      <c r="B34" s="2" t="s">
        <v>116</v>
      </c>
      <c r="C34" s="19" t="n">
        <v>1</v>
      </c>
      <c r="D34" s="19" t="n">
        <v>2</v>
      </c>
      <c r="E34" s="19" t="n">
        <v>3.5</v>
      </c>
      <c r="F34" s="20" t="n">
        <f aca="false">CHOOSE($C$3,C34,D34,E34)</f>
        <v>3.5</v>
      </c>
      <c r="G34" s="4" t="s">
        <v>76</v>
      </c>
    </row>
    <row r="35" customFormat="false" ht="15" hidden="false" customHeight="false" outlineLevel="0" collapsed="false">
      <c r="A35" s="2" t="s">
        <v>119</v>
      </c>
      <c r="B35" s="2" t="s">
        <v>101</v>
      </c>
      <c r="C35" s="26" t="n">
        <v>2</v>
      </c>
      <c r="D35" s="26" t="n">
        <v>2</v>
      </c>
      <c r="E35" s="26" t="n">
        <v>2</v>
      </c>
      <c r="F35" s="27" t="n">
        <f aca="false">CHOOSE($C$3,C35,D35,E35)</f>
        <v>2</v>
      </c>
      <c r="G35" s="4" t="s">
        <v>76</v>
      </c>
    </row>
    <row r="36" customFormat="false" ht="15" hidden="false" customHeight="false" outlineLevel="0" collapsed="false">
      <c r="A36" s="2" t="s">
        <v>120</v>
      </c>
      <c r="B36" s="2" t="s">
        <v>113</v>
      </c>
      <c r="C36" s="25" t="n">
        <v>25</v>
      </c>
      <c r="D36" s="25" t="n">
        <v>25</v>
      </c>
      <c r="E36" s="25" t="n">
        <v>25</v>
      </c>
      <c r="F36" s="13" t="n">
        <f aca="false">CHOOSE($C$3,C36,D36,E36)</f>
        <v>25</v>
      </c>
      <c r="G36" s="4" t="s">
        <v>76</v>
      </c>
    </row>
    <row r="37" customFormat="false" ht="15" hidden="false" customHeight="false" outlineLevel="0" collapsed="false">
      <c r="A37" s="2" t="s">
        <v>121</v>
      </c>
      <c r="B37" s="2" t="s">
        <v>101</v>
      </c>
      <c r="C37" s="26" t="n">
        <v>1.5</v>
      </c>
      <c r="D37" s="26" t="n">
        <v>1.5</v>
      </c>
      <c r="E37" s="26" t="n">
        <v>1.5</v>
      </c>
      <c r="F37" s="27" t="n">
        <f aca="false">CHOOSE($C$3,C37,D37,E37)</f>
        <v>1.5</v>
      </c>
      <c r="G37" s="4" t="s">
        <v>76</v>
      </c>
    </row>
    <row r="38" customFormat="false" ht="15" hidden="false" customHeight="false" outlineLevel="0" collapsed="false">
      <c r="A38" s="9" t="s">
        <v>122</v>
      </c>
      <c r="B38" s="16"/>
      <c r="C38" s="16"/>
      <c r="D38" s="16"/>
      <c r="E38" s="16"/>
      <c r="F38" s="16"/>
      <c r="G38" s="16"/>
    </row>
    <row r="39" customFormat="false" ht="15" hidden="false" customHeight="false" outlineLevel="0" collapsed="false">
      <c r="A39" s="2" t="s">
        <v>123</v>
      </c>
      <c r="B39" s="2" t="s">
        <v>124</v>
      </c>
      <c r="C39" s="19" t="n">
        <v>2</v>
      </c>
      <c r="D39" s="19" t="n">
        <v>3</v>
      </c>
      <c r="E39" s="19" t="n">
        <v>4</v>
      </c>
      <c r="F39" s="20" t="n">
        <f aca="false">CHOOSE($C$3,C39,D39,E39)</f>
        <v>4</v>
      </c>
      <c r="G39" s="4" t="s">
        <v>76</v>
      </c>
    </row>
    <row r="40" customFormat="false" ht="15" hidden="false" customHeight="false" outlineLevel="0" collapsed="false">
      <c r="A40" s="2" t="s">
        <v>125</v>
      </c>
      <c r="B40" s="2" t="s">
        <v>124</v>
      </c>
      <c r="C40" s="19" t="n">
        <v>3</v>
      </c>
      <c r="D40" s="19" t="n">
        <v>5</v>
      </c>
      <c r="E40" s="19" t="n">
        <v>6</v>
      </c>
      <c r="F40" s="20" t="n">
        <f aca="false">CHOOSE($C$3,C40,D40,E40)</f>
        <v>6</v>
      </c>
      <c r="G40" s="4" t="s">
        <v>76</v>
      </c>
    </row>
    <row r="41" customFormat="false" ht="15" hidden="false" customHeight="false" outlineLevel="0" collapsed="false">
      <c r="A41" s="2" t="s">
        <v>126</v>
      </c>
      <c r="B41" s="2" t="s">
        <v>124</v>
      </c>
      <c r="C41" s="19" t="n">
        <v>4</v>
      </c>
      <c r="D41" s="19" t="n">
        <v>6</v>
      </c>
      <c r="E41" s="19" t="n">
        <v>8</v>
      </c>
      <c r="F41" s="20" t="n">
        <f aca="false">CHOOSE($C$3,C41,D41,E41)</f>
        <v>8</v>
      </c>
      <c r="G41" s="4" t="s">
        <v>76</v>
      </c>
    </row>
    <row r="42" customFormat="false" ht="15" hidden="false" customHeight="false" outlineLevel="0" collapsed="false">
      <c r="A42" s="2" t="s">
        <v>127</v>
      </c>
      <c r="B42" s="2" t="s">
        <v>128</v>
      </c>
      <c r="C42" s="19" t="n">
        <v>24</v>
      </c>
      <c r="D42" s="19" t="n">
        <v>32</v>
      </c>
      <c r="E42" s="19" t="n">
        <v>40</v>
      </c>
      <c r="F42" s="20" t="n">
        <f aca="false">CHOOSE($C$3,C42,D42,E42)</f>
        <v>40</v>
      </c>
      <c r="G42" s="4" t="s">
        <v>129</v>
      </c>
    </row>
    <row r="43" customFormat="false" ht="15" hidden="false" customHeight="false" outlineLevel="0" collapsed="false">
      <c r="A43" s="2" t="s">
        <v>130</v>
      </c>
      <c r="B43" s="2" t="s">
        <v>79</v>
      </c>
      <c r="C43" s="25" t="n">
        <v>30</v>
      </c>
      <c r="D43" s="25" t="n">
        <v>30</v>
      </c>
      <c r="E43" s="25" t="n">
        <v>30</v>
      </c>
      <c r="F43" s="13" t="n">
        <f aca="false">CHOOSE($C$3,C43,D43,E43)</f>
        <v>30</v>
      </c>
      <c r="G43" s="4" t="s">
        <v>131</v>
      </c>
    </row>
    <row r="44" customFormat="false" ht="15" hidden="false" customHeight="false" outlineLevel="0" collapsed="false">
      <c r="A44" s="2" t="s">
        <v>132</v>
      </c>
      <c r="B44" s="2" t="s">
        <v>101</v>
      </c>
      <c r="C44" s="26" t="n">
        <v>12</v>
      </c>
      <c r="D44" s="26" t="n">
        <v>12</v>
      </c>
      <c r="E44" s="26" t="n">
        <v>12</v>
      </c>
      <c r="F44" s="27" t="n">
        <f aca="false">CHOOSE($C$3,C44,D44,E44)</f>
        <v>12</v>
      </c>
      <c r="G44" s="4" t="s">
        <v>133</v>
      </c>
    </row>
    <row r="45" customFormat="false" ht="15" hidden="false" customHeight="false" outlineLevel="0" collapsed="false">
      <c r="A45" s="2" t="s">
        <v>134</v>
      </c>
      <c r="B45" s="2" t="s">
        <v>79</v>
      </c>
      <c r="C45" s="25" t="n">
        <v>4</v>
      </c>
      <c r="D45" s="25" t="n">
        <v>4</v>
      </c>
      <c r="E45" s="25" t="n">
        <v>4</v>
      </c>
      <c r="F45" s="13" t="n">
        <f aca="false">CHOOSE($C$3,C45,D45,E45)</f>
        <v>4</v>
      </c>
      <c r="G45" s="4" t="s">
        <v>76</v>
      </c>
    </row>
    <row r="46" customFormat="false" ht="15" hidden="false" customHeight="false" outlineLevel="0" collapsed="false">
      <c r="A46" s="9" t="s">
        <v>135</v>
      </c>
      <c r="B46" s="16"/>
      <c r="C46" s="16"/>
      <c r="D46" s="16"/>
      <c r="E46" s="16"/>
      <c r="F46" s="16"/>
      <c r="G46" s="16"/>
    </row>
    <row r="47" customFormat="false" ht="15" hidden="false" customHeight="false" outlineLevel="0" collapsed="false">
      <c r="A47" s="2" t="s">
        <v>136</v>
      </c>
      <c r="B47" s="2" t="s">
        <v>137</v>
      </c>
      <c r="C47" s="25" t="n">
        <v>35</v>
      </c>
      <c r="D47" s="25" t="n">
        <v>35</v>
      </c>
      <c r="E47" s="25" t="n">
        <v>35</v>
      </c>
      <c r="F47" s="13" t="n">
        <f aca="false">CHOOSE($C$3,C47,D47,E47)</f>
        <v>35</v>
      </c>
      <c r="G47" s="4" t="s">
        <v>138</v>
      </c>
    </row>
    <row r="48" customFormat="false" ht="15" hidden="false" customHeight="false" outlineLevel="0" collapsed="false">
      <c r="A48" s="2" t="s">
        <v>139</v>
      </c>
      <c r="B48" s="2" t="s">
        <v>140</v>
      </c>
      <c r="C48" s="23" t="n">
        <v>0.4</v>
      </c>
      <c r="D48" s="23" t="n">
        <v>0.5</v>
      </c>
      <c r="E48" s="23" t="n">
        <v>0.6</v>
      </c>
      <c r="F48" s="24" t="n">
        <f aca="false">CHOOSE($C$3,C48,D48,E48)</f>
        <v>0.6</v>
      </c>
      <c r="G48" s="4" t="s">
        <v>76</v>
      </c>
    </row>
    <row r="49" customFormat="false" ht="15" hidden="false" customHeight="false" outlineLevel="0" collapsed="false">
      <c r="A49" s="2" t="s">
        <v>141</v>
      </c>
      <c r="B49" s="2" t="s">
        <v>140</v>
      </c>
      <c r="C49" s="23" t="n">
        <v>0.6</v>
      </c>
      <c r="D49" s="23" t="n">
        <v>0.75</v>
      </c>
      <c r="E49" s="23" t="n">
        <v>0.9</v>
      </c>
      <c r="F49" s="24" t="n">
        <f aca="false">CHOOSE($C$3,C49,D49,E49)</f>
        <v>0.9</v>
      </c>
      <c r="G49" s="4" t="s">
        <v>76</v>
      </c>
    </row>
    <row r="50" customFormat="false" ht="15" hidden="false" customHeight="false" outlineLevel="0" collapsed="false">
      <c r="A50" s="2" t="s">
        <v>142</v>
      </c>
      <c r="B50" s="2" t="s">
        <v>140</v>
      </c>
      <c r="C50" s="23" t="n">
        <v>0.75</v>
      </c>
      <c r="D50" s="23" t="n">
        <v>1</v>
      </c>
      <c r="E50" s="23" t="n">
        <v>1</v>
      </c>
      <c r="F50" s="24" t="n">
        <f aca="false">CHOOSE($C$3,C50,D50,E50)</f>
        <v>1</v>
      </c>
      <c r="G50" s="4" t="s">
        <v>76</v>
      </c>
    </row>
    <row r="51" customFormat="false" ht="15" hidden="false" customHeight="false" outlineLevel="0" collapsed="false">
      <c r="A51" s="2" t="s">
        <v>143</v>
      </c>
      <c r="B51" s="2" t="s">
        <v>85</v>
      </c>
      <c r="C51" s="19" t="n">
        <v>12</v>
      </c>
      <c r="D51" s="19" t="n">
        <v>16</v>
      </c>
      <c r="E51" s="19" t="n">
        <v>20</v>
      </c>
      <c r="F51" s="20" t="n">
        <f aca="false">CHOOSE($C$3,C51,D51,E51)</f>
        <v>20</v>
      </c>
      <c r="G51" s="4" t="s">
        <v>76</v>
      </c>
    </row>
    <row r="52" customFormat="false" ht="15" hidden="false" customHeight="false" outlineLevel="0" collapsed="false">
      <c r="A52" s="2" t="s">
        <v>144</v>
      </c>
      <c r="B52" s="2" t="s">
        <v>85</v>
      </c>
      <c r="C52" s="19" t="n">
        <v>16</v>
      </c>
      <c r="D52" s="19" t="n">
        <v>20</v>
      </c>
      <c r="E52" s="19" t="n">
        <v>28</v>
      </c>
      <c r="F52" s="20" t="n">
        <f aca="false">CHOOSE($C$3,C52,D52,E52)</f>
        <v>28</v>
      </c>
      <c r="G52" s="4" t="s">
        <v>76</v>
      </c>
    </row>
    <row r="53" customFormat="false" ht="15" hidden="false" customHeight="false" outlineLevel="0" collapsed="false">
      <c r="A53" s="2" t="s">
        <v>145</v>
      </c>
      <c r="B53" s="2" t="s">
        <v>85</v>
      </c>
      <c r="C53" s="19" t="n">
        <v>18</v>
      </c>
      <c r="D53" s="19" t="n">
        <v>24</v>
      </c>
      <c r="E53" s="19" t="n">
        <v>36</v>
      </c>
      <c r="F53" s="20" t="n">
        <f aca="false">CHOOSE($C$3,C53,D53,E53)</f>
        <v>36</v>
      </c>
      <c r="G53" s="4" t="s">
        <v>76</v>
      </c>
    </row>
    <row r="54" customFormat="false" ht="15" hidden="false" customHeight="false" outlineLevel="0" collapsed="false">
      <c r="A54" s="2" t="s">
        <v>146</v>
      </c>
      <c r="B54" s="2" t="s">
        <v>85</v>
      </c>
      <c r="C54" s="19" t="n">
        <v>12</v>
      </c>
      <c r="D54" s="19" t="n">
        <v>12</v>
      </c>
      <c r="E54" s="19" t="n">
        <v>12</v>
      </c>
      <c r="F54" s="20" t="n">
        <f aca="false">CHOOSE($C$3,C54,D54,E54)</f>
        <v>12</v>
      </c>
      <c r="G54" s="4" t="s">
        <v>76</v>
      </c>
    </row>
    <row r="55" customFormat="false" ht="15" hidden="false" customHeight="false" outlineLevel="0" collapsed="false">
      <c r="A55" s="2" t="s">
        <v>147</v>
      </c>
      <c r="B55" s="2" t="s">
        <v>101</v>
      </c>
      <c r="C55" s="26" t="n">
        <v>7</v>
      </c>
      <c r="D55" s="26" t="n">
        <v>7</v>
      </c>
      <c r="E55" s="26" t="n">
        <v>7</v>
      </c>
      <c r="F55" s="27" t="n">
        <f aca="false">CHOOSE($C$3,C55,D55,E55)</f>
        <v>7</v>
      </c>
      <c r="G55" s="4" t="s">
        <v>148</v>
      </c>
    </row>
    <row r="56" customFormat="false" ht="15" hidden="false" customHeight="false" outlineLevel="0" collapsed="false">
      <c r="A56" s="2" t="s">
        <v>149</v>
      </c>
      <c r="B56" s="2" t="s">
        <v>98</v>
      </c>
      <c r="C56" s="28" t="n">
        <f aca="false">(C24+C25)/2*(1+C27)</f>
        <v>22</v>
      </c>
      <c r="D56" s="28" t="n">
        <f aca="false">(D24+D25)/2*(1+D27)</f>
        <v>22</v>
      </c>
      <c r="E56" s="28" t="n">
        <f aca="false">(E24+E25)/2*(1+E27)</f>
        <v>22</v>
      </c>
      <c r="F56" s="22" t="n">
        <f aca="false">(F24+F25)/2*(1+F27)</f>
        <v>22</v>
      </c>
      <c r="G56" s="4" t="s">
        <v>108</v>
      </c>
    </row>
    <row r="57" customFormat="false" ht="15" hidden="false" customHeight="false" outlineLevel="0" collapsed="false">
      <c r="A57" s="9" t="s">
        <v>150</v>
      </c>
      <c r="B57" s="16"/>
      <c r="C57" s="16"/>
      <c r="D57" s="16"/>
      <c r="E57" s="16"/>
      <c r="F57" s="16"/>
      <c r="G57" s="16"/>
    </row>
    <row r="58" customFormat="false" ht="15" hidden="false" customHeight="false" outlineLevel="0" collapsed="false">
      <c r="A58" s="2" t="s">
        <v>151</v>
      </c>
      <c r="B58" s="2" t="s">
        <v>85</v>
      </c>
      <c r="C58" s="19" t="n">
        <v>0</v>
      </c>
      <c r="D58" s="19" t="n">
        <v>10</v>
      </c>
      <c r="E58" s="19" t="n">
        <v>15</v>
      </c>
      <c r="F58" s="20" t="n">
        <f aca="false">CHOOSE($C$3,C58,D58,E58)</f>
        <v>15</v>
      </c>
      <c r="G58" s="4" t="s">
        <v>152</v>
      </c>
    </row>
    <row r="59" customFormat="false" ht="15" hidden="false" customHeight="false" outlineLevel="0" collapsed="false">
      <c r="A59" s="2" t="s">
        <v>153</v>
      </c>
      <c r="B59" s="2" t="s">
        <v>85</v>
      </c>
      <c r="C59" s="19" t="n">
        <v>10</v>
      </c>
      <c r="D59" s="19" t="n">
        <v>15</v>
      </c>
      <c r="E59" s="19" t="n">
        <v>20</v>
      </c>
      <c r="F59" s="20" t="n">
        <f aca="false">CHOOSE($C$3,C59,D59,E59)</f>
        <v>20</v>
      </c>
      <c r="G59" s="4" t="s">
        <v>76</v>
      </c>
    </row>
    <row r="60" customFormat="false" ht="15" hidden="false" customHeight="false" outlineLevel="0" collapsed="false">
      <c r="A60" s="2" t="s">
        <v>154</v>
      </c>
      <c r="B60" s="2" t="s">
        <v>85</v>
      </c>
      <c r="C60" s="19" t="n">
        <v>10</v>
      </c>
      <c r="D60" s="19" t="n">
        <v>20</v>
      </c>
      <c r="E60" s="19" t="n">
        <v>25</v>
      </c>
      <c r="F60" s="20" t="n">
        <f aca="false">CHOOSE($C$3,C60,D60,E60)</f>
        <v>25</v>
      </c>
      <c r="G60" s="4" t="s">
        <v>76</v>
      </c>
    </row>
    <row r="61" customFormat="false" ht="15" hidden="false" customHeight="false" outlineLevel="0" collapsed="false">
      <c r="A61" s="2" t="s">
        <v>155</v>
      </c>
      <c r="B61" s="2" t="s">
        <v>79</v>
      </c>
      <c r="C61" s="25" t="n">
        <v>25</v>
      </c>
      <c r="D61" s="25" t="n">
        <v>25</v>
      </c>
      <c r="E61" s="25" t="n">
        <v>25</v>
      </c>
      <c r="F61" s="13" t="n">
        <f aca="false">CHOOSE($C$3,C61,D61,E61)</f>
        <v>25</v>
      </c>
      <c r="G61" s="4" t="s">
        <v>156</v>
      </c>
    </row>
    <row r="62" customFormat="false" ht="15" hidden="false" customHeight="false" outlineLevel="0" collapsed="false">
      <c r="A62" s="2" t="s">
        <v>157</v>
      </c>
      <c r="B62" s="2" t="s">
        <v>158</v>
      </c>
      <c r="C62" s="19" t="n">
        <v>4</v>
      </c>
      <c r="D62" s="19" t="n">
        <v>4</v>
      </c>
      <c r="E62" s="19" t="n">
        <v>4</v>
      </c>
      <c r="F62" s="20" t="n">
        <f aca="false">CHOOSE($C$3,C62,D62,E62)</f>
        <v>4</v>
      </c>
      <c r="G62" s="4" t="s">
        <v>159</v>
      </c>
    </row>
    <row r="63" customFormat="false" ht="15" hidden="false" customHeight="false" outlineLevel="0" collapsed="false">
      <c r="A63" s="2" t="s">
        <v>160</v>
      </c>
      <c r="B63" s="2" t="s">
        <v>79</v>
      </c>
      <c r="C63" s="25" t="n">
        <v>8</v>
      </c>
      <c r="D63" s="25" t="n">
        <v>8</v>
      </c>
      <c r="E63" s="25" t="n">
        <v>8</v>
      </c>
      <c r="F63" s="13" t="n">
        <f aca="false">CHOOSE($C$3,C63,D63,E63)</f>
        <v>8</v>
      </c>
      <c r="G63" s="4" t="s">
        <v>76</v>
      </c>
    </row>
    <row r="64" customFormat="false" ht="15" hidden="false" customHeight="false" outlineLevel="0" collapsed="false">
      <c r="A64" s="9" t="s">
        <v>161</v>
      </c>
      <c r="B64" s="16"/>
      <c r="C64" s="16"/>
      <c r="D64" s="16"/>
      <c r="E64" s="16"/>
      <c r="F64" s="16"/>
      <c r="G64" s="16"/>
    </row>
    <row r="65" customFormat="false" ht="15" hidden="false" customHeight="false" outlineLevel="0" collapsed="false">
      <c r="A65" s="2" t="s">
        <v>162</v>
      </c>
      <c r="B65" s="2" t="s">
        <v>163</v>
      </c>
      <c r="C65" s="21" t="n">
        <v>7</v>
      </c>
      <c r="D65" s="21" t="n">
        <v>7</v>
      </c>
      <c r="E65" s="21" t="n">
        <v>7</v>
      </c>
      <c r="F65" s="22" t="n">
        <f aca="false">CHOOSE($C$3,C65,D65,E65)</f>
        <v>7</v>
      </c>
      <c r="G65" s="4" t="s">
        <v>76</v>
      </c>
    </row>
    <row r="66" customFormat="false" ht="15" hidden="false" customHeight="false" outlineLevel="0" collapsed="false">
      <c r="A66" s="2" t="s">
        <v>164</v>
      </c>
      <c r="B66" s="2" t="s">
        <v>165</v>
      </c>
      <c r="C66" s="19" t="n">
        <v>5</v>
      </c>
      <c r="D66" s="19" t="n">
        <v>5</v>
      </c>
      <c r="E66" s="19" t="n">
        <v>5</v>
      </c>
      <c r="F66" s="20" t="n">
        <f aca="false">CHOOSE($C$3,C66,D66,E66)</f>
        <v>5</v>
      </c>
      <c r="G66" s="4" t="s">
        <v>166</v>
      </c>
    </row>
    <row r="67" customFormat="false" ht="15" hidden="false" customHeight="false" outlineLevel="0" collapsed="false">
      <c r="A67" s="2" t="s">
        <v>167</v>
      </c>
      <c r="B67" s="2" t="s">
        <v>85</v>
      </c>
      <c r="C67" s="19" t="n">
        <v>6</v>
      </c>
      <c r="D67" s="19" t="n">
        <v>8</v>
      </c>
      <c r="E67" s="19" t="n">
        <v>10</v>
      </c>
      <c r="F67" s="20" t="n">
        <f aca="false">CHOOSE($C$3,C67,D67,E67)</f>
        <v>10</v>
      </c>
      <c r="G67" s="4" t="s">
        <v>76</v>
      </c>
    </row>
    <row r="68" customFormat="false" ht="15" hidden="false" customHeight="false" outlineLevel="0" collapsed="false">
      <c r="A68" s="2" t="s">
        <v>168</v>
      </c>
      <c r="B68" s="2" t="s">
        <v>85</v>
      </c>
      <c r="C68" s="19" t="n">
        <v>8</v>
      </c>
      <c r="D68" s="19" t="n">
        <v>12</v>
      </c>
      <c r="E68" s="19" t="n">
        <v>15</v>
      </c>
      <c r="F68" s="20" t="n">
        <f aca="false">CHOOSE($C$3,C68,D68,E68)</f>
        <v>15</v>
      </c>
      <c r="G68" s="4" t="s">
        <v>76</v>
      </c>
    </row>
    <row r="69" customFormat="false" ht="15" hidden="false" customHeight="false" outlineLevel="0" collapsed="false">
      <c r="A69" s="2" t="s">
        <v>169</v>
      </c>
      <c r="B69" s="2" t="s">
        <v>85</v>
      </c>
      <c r="C69" s="19" t="n">
        <v>10</v>
      </c>
      <c r="D69" s="19" t="n">
        <v>14</v>
      </c>
      <c r="E69" s="19" t="n">
        <v>20</v>
      </c>
      <c r="F69" s="20" t="n">
        <f aca="false">CHOOSE($C$3,C69,D69,E69)</f>
        <v>20</v>
      </c>
      <c r="G69" s="4" t="s">
        <v>76</v>
      </c>
    </row>
    <row r="70" customFormat="false" ht="15" hidden="false" customHeight="false" outlineLevel="0" collapsed="false">
      <c r="A70" s="2" t="s">
        <v>170</v>
      </c>
      <c r="B70" s="2" t="s">
        <v>101</v>
      </c>
      <c r="C70" s="26" t="n">
        <v>1.25</v>
      </c>
      <c r="D70" s="26" t="n">
        <v>1.25</v>
      </c>
      <c r="E70" s="26" t="n">
        <v>1.25</v>
      </c>
      <c r="F70" s="27" t="n">
        <f aca="false">CHOOSE($C$3,C70,D70,E70)</f>
        <v>1.25</v>
      </c>
      <c r="G70" s="4" t="s">
        <v>171</v>
      </c>
    </row>
    <row r="71" customFormat="false" ht="15" hidden="false" customHeight="false" outlineLevel="0" collapsed="false">
      <c r="A71" s="9" t="s">
        <v>172</v>
      </c>
      <c r="B71" s="16"/>
      <c r="C71" s="16"/>
      <c r="D71" s="16"/>
      <c r="E71" s="16"/>
      <c r="F71" s="16"/>
      <c r="G71" s="16"/>
    </row>
    <row r="72" customFormat="false" ht="15" hidden="false" customHeight="false" outlineLevel="0" collapsed="false">
      <c r="A72" s="2" t="s">
        <v>173</v>
      </c>
      <c r="B72" s="2" t="s">
        <v>79</v>
      </c>
      <c r="C72" s="25" t="n">
        <v>60</v>
      </c>
      <c r="D72" s="25" t="n">
        <v>60</v>
      </c>
      <c r="E72" s="25" t="n">
        <v>60</v>
      </c>
      <c r="F72" s="13" t="n">
        <f aca="false">CHOOSE($C$3,C72,D72,E72)</f>
        <v>60</v>
      </c>
      <c r="G72" s="4" t="s">
        <v>76</v>
      </c>
    </row>
    <row r="73" customFormat="false" ht="15" hidden="false" customHeight="false" outlineLevel="0" collapsed="false">
      <c r="A73" s="2" t="s">
        <v>174</v>
      </c>
      <c r="B73" s="2" t="s">
        <v>175</v>
      </c>
      <c r="C73" s="19" t="n">
        <v>3</v>
      </c>
      <c r="D73" s="19" t="n">
        <v>3</v>
      </c>
      <c r="E73" s="19" t="n">
        <v>3</v>
      </c>
      <c r="F73" s="20" t="n">
        <f aca="false">CHOOSE($C$3,C73,D73,E73)</f>
        <v>3</v>
      </c>
      <c r="G73" s="4" t="s">
        <v>76</v>
      </c>
    </row>
    <row r="74" customFormat="false" ht="15" hidden="false" customHeight="false" outlineLevel="0" collapsed="false">
      <c r="A74" s="2" t="s">
        <v>176</v>
      </c>
      <c r="B74" s="2" t="s">
        <v>128</v>
      </c>
      <c r="C74" s="19" t="n">
        <v>0</v>
      </c>
      <c r="D74" s="19" t="n">
        <v>24</v>
      </c>
      <c r="E74" s="19" t="n">
        <v>32</v>
      </c>
      <c r="F74" s="20" t="n">
        <f aca="false">CHOOSE($C$3,C74,D74,E74)</f>
        <v>32</v>
      </c>
      <c r="G74" s="4" t="s">
        <v>76</v>
      </c>
    </row>
    <row r="75" customFormat="false" ht="15" hidden="false" customHeight="false" outlineLevel="0" collapsed="false">
      <c r="A75" s="2" t="s">
        <v>177</v>
      </c>
      <c r="B75" s="2" t="s">
        <v>128</v>
      </c>
      <c r="C75" s="19" t="n">
        <v>24</v>
      </c>
      <c r="D75" s="19" t="n">
        <v>40</v>
      </c>
      <c r="E75" s="19" t="n">
        <v>60</v>
      </c>
      <c r="F75" s="20" t="n">
        <f aca="false">CHOOSE($C$3,C75,D75,E75)</f>
        <v>60</v>
      </c>
      <c r="G75" s="4" t="s">
        <v>76</v>
      </c>
    </row>
    <row r="76" customFormat="false" ht="15" hidden="false" customHeight="false" outlineLevel="0" collapsed="false">
      <c r="A76" s="2" t="s">
        <v>178</v>
      </c>
      <c r="B76" s="2" t="s">
        <v>128</v>
      </c>
      <c r="C76" s="19" t="n">
        <v>32</v>
      </c>
      <c r="D76" s="19" t="n">
        <v>48</v>
      </c>
      <c r="E76" s="19" t="n">
        <v>80</v>
      </c>
      <c r="F76" s="20" t="n">
        <f aca="false">CHOOSE($C$3,C76,D76,E76)</f>
        <v>80</v>
      </c>
      <c r="G76" s="4" t="s">
        <v>76</v>
      </c>
    </row>
    <row r="77" customFormat="false" ht="15" hidden="false" customHeight="false" outlineLevel="0" collapsed="false">
      <c r="A77" s="2" t="s">
        <v>179</v>
      </c>
      <c r="B77" s="2" t="s">
        <v>180</v>
      </c>
      <c r="C77" s="19" t="n">
        <v>2</v>
      </c>
      <c r="D77" s="19" t="n">
        <v>2</v>
      </c>
      <c r="E77" s="19" t="n">
        <v>2</v>
      </c>
      <c r="F77" s="20" t="n">
        <f aca="false">CHOOSE($C$3,C77,D77,E77)</f>
        <v>2</v>
      </c>
      <c r="G77" s="4" t="s">
        <v>76</v>
      </c>
    </row>
    <row r="78" customFormat="false" ht="15" hidden="false" customHeight="false" outlineLevel="0" collapsed="false">
      <c r="A78" s="9" t="s">
        <v>181</v>
      </c>
      <c r="B78" s="16"/>
      <c r="C78" s="16"/>
      <c r="D78" s="16"/>
      <c r="E78" s="16"/>
      <c r="F78" s="16"/>
      <c r="G78" s="16"/>
    </row>
    <row r="79" customFormat="false" ht="15" hidden="false" customHeight="false" outlineLevel="0" collapsed="false">
      <c r="A79" s="2" t="s">
        <v>182</v>
      </c>
      <c r="B79" s="2" t="s">
        <v>183</v>
      </c>
      <c r="C79" s="25" t="n">
        <v>1500</v>
      </c>
      <c r="D79" s="25" t="n">
        <v>3000</v>
      </c>
      <c r="E79" s="25" t="n">
        <v>4000</v>
      </c>
      <c r="F79" s="13" t="n">
        <f aca="false">CHOOSE($C$3,C79,D79,E79)</f>
        <v>4000</v>
      </c>
      <c r="G79" s="4" t="s">
        <v>184</v>
      </c>
    </row>
    <row r="80" customFormat="false" ht="15" hidden="false" customHeight="false" outlineLevel="0" collapsed="false">
      <c r="A80" s="2" t="s">
        <v>185</v>
      </c>
      <c r="B80" s="2" t="s">
        <v>183</v>
      </c>
      <c r="C80" s="25" t="n">
        <v>2500</v>
      </c>
      <c r="D80" s="25" t="n">
        <v>4000</v>
      </c>
      <c r="E80" s="25" t="n">
        <v>6000</v>
      </c>
      <c r="F80" s="13" t="n">
        <f aca="false">CHOOSE($C$3,C80,D80,E80)</f>
        <v>6000</v>
      </c>
      <c r="G80" s="4" t="s">
        <v>76</v>
      </c>
    </row>
    <row r="81" customFormat="false" ht="15" hidden="false" customHeight="false" outlineLevel="0" collapsed="false">
      <c r="A81" s="2" t="s">
        <v>186</v>
      </c>
      <c r="B81" s="2" t="s">
        <v>183</v>
      </c>
      <c r="C81" s="25" t="n">
        <v>3000</v>
      </c>
      <c r="D81" s="25" t="n">
        <v>5000</v>
      </c>
      <c r="E81" s="25" t="n">
        <v>8000</v>
      </c>
      <c r="F81" s="13" t="n">
        <f aca="false">CHOOSE($C$3,C81,D81,E81)</f>
        <v>8000</v>
      </c>
      <c r="G81" s="4" t="s">
        <v>76</v>
      </c>
    </row>
    <row r="82" customFormat="false" ht="15" hidden="false" customHeight="false" outlineLevel="0" collapsed="false">
      <c r="A82" s="2" t="s">
        <v>187</v>
      </c>
      <c r="B82" s="2" t="s">
        <v>183</v>
      </c>
      <c r="C82" s="25" t="n">
        <v>0</v>
      </c>
      <c r="D82" s="25" t="n">
        <v>0</v>
      </c>
      <c r="E82" s="25" t="n">
        <v>1000</v>
      </c>
      <c r="F82" s="13" t="n">
        <f aca="false">CHOOSE($C$3,C82,D82,E82)</f>
        <v>1000</v>
      </c>
      <c r="G82" s="4" t="s">
        <v>188</v>
      </c>
    </row>
    <row r="83" customFormat="false" ht="15" hidden="false" customHeight="false" outlineLevel="0" collapsed="false">
      <c r="A83" s="2" t="s">
        <v>189</v>
      </c>
      <c r="B83" s="2" t="s">
        <v>183</v>
      </c>
      <c r="C83" s="25" t="n">
        <v>0</v>
      </c>
      <c r="D83" s="25" t="n">
        <v>1500</v>
      </c>
      <c r="E83" s="25" t="n">
        <v>3000</v>
      </c>
      <c r="F83" s="13" t="n">
        <f aca="false">CHOOSE($C$3,C83,D83,E83)</f>
        <v>3000</v>
      </c>
      <c r="G83" s="4" t="s">
        <v>76</v>
      </c>
    </row>
    <row r="84" customFormat="false" ht="15" hidden="false" customHeight="false" outlineLevel="0" collapsed="false">
      <c r="A84" s="2" t="s">
        <v>190</v>
      </c>
      <c r="B84" s="2" t="s">
        <v>183</v>
      </c>
      <c r="C84" s="25" t="n">
        <v>1000</v>
      </c>
      <c r="D84" s="25" t="n">
        <v>3000</v>
      </c>
      <c r="E84" s="25" t="n">
        <v>5000</v>
      </c>
      <c r="F84" s="13" t="n">
        <f aca="false">CHOOSE($C$3,C84,D84,E84)</f>
        <v>5000</v>
      </c>
      <c r="G84" s="4" t="s">
        <v>76</v>
      </c>
    </row>
    <row r="85" customFormat="false" ht="15" hidden="false" customHeight="false" outlineLevel="0" collapsed="false">
      <c r="A85" s="9" t="s">
        <v>191</v>
      </c>
      <c r="B85" s="16"/>
      <c r="C85" s="16"/>
      <c r="D85" s="16"/>
      <c r="E85" s="16"/>
      <c r="F85" s="16"/>
      <c r="G85" s="16"/>
    </row>
    <row r="86" customFormat="false" ht="15" hidden="false" customHeight="false" outlineLevel="0" collapsed="false">
      <c r="A86" s="2" t="s">
        <v>192</v>
      </c>
      <c r="B86" s="2" t="s">
        <v>180</v>
      </c>
      <c r="C86" s="19" t="n">
        <v>2</v>
      </c>
      <c r="D86" s="19" t="n">
        <v>3</v>
      </c>
      <c r="E86" s="19" t="n">
        <v>4</v>
      </c>
      <c r="F86" s="20" t="n">
        <f aca="false">CHOOSE($C$3,C86,D86,E86)</f>
        <v>4</v>
      </c>
      <c r="G86" s="4" t="s">
        <v>193</v>
      </c>
    </row>
    <row r="87" customFormat="false" ht="15" hidden="false" customHeight="false" outlineLevel="0" collapsed="false">
      <c r="A87" s="2" t="s">
        <v>194</v>
      </c>
      <c r="B87" s="2" t="s">
        <v>195</v>
      </c>
      <c r="C87" s="23" t="n">
        <v>0</v>
      </c>
      <c r="D87" s="23" t="n">
        <v>0</v>
      </c>
      <c r="E87" s="23" t="n">
        <v>0</v>
      </c>
      <c r="F87" s="24" t="n">
        <f aca="false">CHOOSE($C$3,C87,D87,E87)</f>
        <v>0</v>
      </c>
      <c r="G87" s="4" t="s">
        <v>196</v>
      </c>
    </row>
    <row r="88" customFormat="false" ht="15" hidden="false" customHeight="false" outlineLevel="0" collapsed="false">
      <c r="A88" s="2" t="s">
        <v>197</v>
      </c>
      <c r="B88" s="2" t="s">
        <v>195</v>
      </c>
      <c r="C88" s="23" t="n">
        <v>0.25</v>
      </c>
      <c r="D88" s="23" t="n">
        <v>0.5</v>
      </c>
      <c r="E88" s="23" t="n">
        <v>0.75</v>
      </c>
      <c r="F88" s="24" t="n">
        <f aca="false">CHOOSE($C$3,C88,D88,E88)</f>
        <v>0.75</v>
      </c>
      <c r="G88" s="4" t="s">
        <v>198</v>
      </c>
    </row>
    <row r="89" customFormat="false" ht="15" hidden="false" customHeight="false" outlineLevel="0" collapsed="false">
      <c r="A89" s="2" t="s">
        <v>199</v>
      </c>
      <c r="B89" s="2" t="s">
        <v>195</v>
      </c>
      <c r="C89" s="23" t="n">
        <v>0.5</v>
      </c>
      <c r="D89" s="23" t="n">
        <v>0.75</v>
      </c>
      <c r="E89" s="23" t="n">
        <v>1</v>
      </c>
      <c r="F89" s="24" t="n">
        <f aca="false">CHOOSE($C$3,C89,D89,E89)</f>
        <v>1</v>
      </c>
      <c r="G89" s="4" t="s">
        <v>76</v>
      </c>
    </row>
    <row r="90" customFormat="false" ht="15" hidden="false" customHeight="false" outlineLevel="0" collapsed="false">
      <c r="A90" s="9" t="s">
        <v>200</v>
      </c>
      <c r="B90" s="16"/>
      <c r="C90" s="16"/>
      <c r="D90" s="16"/>
      <c r="E90" s="16"/>
      <c r="F90" s="16"/>
      <c r="G90" s="16"/>
    </row>
    <row r="91" customFormat="false" ht="15" hidden="false" customHeight="false" outlineLevel="0" collapsed="false">
      <c r="A91" s="2" t="s">
        <v>201</v>
      </c>
      <c r="B91" s="2" t="s">
        <v>68</v>
      </c>
      <c r="C91" s="25" t="n">
        <v>900</v>
      </c>
      <c r="D91" s="25" t="n">
        <v>900</v>
      </c>
      <c r="E91" s="25" t="n">
        <v>900</v>
      </c>
      <c r="F91" s="13" t="n">
        <f aca="false">CHOOSE($C$3,C91,D91,E91)</f>
        <v>900</v>
      </c>
      <c r="G91" s="4" t="s">
        <v>202</v>
      </c>
    </row>
    <row r="92" customFormat="false" ht="15" hidden="false" customHeight="false" outlineLevel="0" collapsed="false">
      <c r="A92" s="2" t="s">
        <v>203</v>
      </c>
      <c r="B92" s="2" t="s">
        <v>204</v>
      </c>
      <c r="C92" s="19" t="n">
        <v>60</v>
      </c>
      <c r="D92" s="19" t="n">
        <v>60</v>
      </c>
      <c r="E92" s="19" t="n">
        <v>60</v>
      </c>
      <c r="F92" s="20" t="n">
        <f aca="false">CHOOSE($C$3,C92,D92,E92)</f>
        <v>60</v>
      </c>
      <c r="G92" s="4" t="s">
        <v>205</v>
      </c>
    </row>
    <row r="93" customFormat="false" ht="15" hidden="false" customHeight="false" outlineLevel="0" collapsed="false">
      <c r="A93" s="2" t="s">
        <v>206</v>
      </c>
      <c r="B93" s="2" t="s">
        <v>68</v>
      </c>
      <c r="C93" s="25" t="n">
        <v>1000</v>
      </c>
      <c r="D93" s="25" t="n">
        <v>1000</v>
      </c>
      <c r="E93" s="25" t="n">
        <v>750</v>
      </c>
      <c r="F93" s="13" t="n">
        <f aca="false">CHOOSE($C$3,C93,D93,E93)</f>
        <v>750</v>
      </c>
      <c r="G93" s="4" t="s">
        <v>207</v>
      </c>
    </row>
    <row r="94" customFormat="false" ht="15" hidden="false" customHeight="false" outlineLevel="0" collapsed="false">
      <c r="A94" s="2" t="s">
        <v>208</v>
      </c>
      <c r="B94" s="2" t="s">
        <v>209</v>
      </c>
      <c r="C94" s="25" t="n">
        <v>9500</v>
      </c>
      <c r="D94" s="25" t="n">
        <v>7550</v>
      </c>
      <c r="E94" s="25" t="n">
        <v>7550</v>
      </c>
      <c r="F94" s="13" t="n">
        <f aca="false">CHOOSE($C$3,C94,D94,E94)</f>
        <v>7550</v>
      </c>
      <c r="G94" s="4" t="s">
        <v>210</v>
      </c>
    </row>
    <row r="95" customFormat="false" ht="15" hidden="false" customHeight="false" outlineLevel="0" collapsed="false">
      <c r="A95" s="2" t="s">
        <v>211</v>
      </c>
      <c r="B95" s="2" t="s">
        <v>68</v>
      </c>
      <c r="C95" s="25" t="n">
        <v>0</v>
      </c>
      <c r="D95" s="25" t="n">
        <v>0</v>
      </c>
      <c r="E95" s="25" t="n">
        <v>0</v>
      </c>
      <c r="F95" s="13" t="n">
        <f aca="false">CHOOSE($C$3,C95,D95,E95)</f>
        <v>0</v>
      </c>
      <c r="G95" s="4" t="s">
        <v>212</v>
      </c>
    </row>
    <row r="96" customFormat="false" ht="15" hidden="false" customHeight="false" outlineLevel="0" collapsed="false">
      <c r="A96" s="2" t="s">
        <v>213</v>
      </c>
      <c r="B96" s="2" t="s">
        <v>68</v>
      </c>
      <c r="C96" s="25" t="n">
        <v>300</v>
      </c>
      <c r="D96" s="25" t="n">
        <v>300</v>
      </c>
      <c r="E96" s="25" t="n">
        <v>400</v>
      </c>
      <c r="F96" s="13" t="n">
        <f aca="false">CHOOSE($C$3,C96,D96,E96)</f>
        <v>400</v>
      </c>
      <c r="G96" s="4" t="s">
        <v>76</v>
      </c>
    </row>
    <row r="97" customFormat="false" ht="15" hidden="false" customHeight="false" outlineLevel="0" collapsed="false">
      <c r="A97" s="2" t="s">
        <v>214</v>
      </c>
      <c r="B97" s="2" t="s">
        <v>68</v>
      </c>
      <c r="C97" s="25" t="n">
        <v>250</v>
      </c>
      <c r="D97" s="25" t="n">
        <v>250</v>
      </c>
      <c r="E97" s="25" t="n">
        <v>250</v>
      </c>
      <c r="F97" s="13" t="n">
        <f aca="false">CHOOSE($C$3,C97,D97,E97)</f>
        <v>250</v>
      </c>
      <c r="G97" s="4" t="s">
        <v>76</v>
      </c>
    </row>
    <row r="98" customFormat="false" ht="15" hidden="false" customHeight="false" outlineLevel="0" collapsed="false">
      <c r="A98" s="2" t="s">
        <v>215</v>
      </c>
      <c r="B98" s="2" t="s">
        <v>183</v>
      </c>
      <c r="C98" s="25" t="n">
        <v>1500</v>
      </c>
      <c r="D98" s="25" t="n">
        <v>1000</v>
      </c>
      <c r="E98" s="25" t="n">
        <v>1000</v>
      </c>
      <c r="F98" s="13" t="n">
        <f aca="false">CHOOSE($C$3,C98,D98,E98)</f>
        <v>1000</v>
      </c>
      <c r="G98" s="4" t="s">
        <v>76</v>
      </c>
    </row>
    <row r="99" customFormat="false" ht="15" hidden="false" customHeight="false" outlineLevel="0" collapsed="false">
      <c r="A99" s="9" t="s">
        <v>216</v>
      </c>
      <c r="B99" s="16"/>
      <c r="C99" s="16"/>
      <c r="D99" s="16"/>
      <c r="E99" s="16"/>
      <c r="F99" s="16"/>
      <c r="G99" s="16"/>
    </row>
    <row r="100" customFormat="false" ht="15" hidden="false" customHeight="false" outlineLevel="0" collapsed="false">
      <c r="A100" s="2" t="s">
        <v>217</v>
      </c>
      <c r="B100" s="2" t="s">
        <v>60</v>
      </c>
      <c r="C100" s="19" t="n">
        <v>98</v>
      </c>
      <c r="D100" s="19" t="n">
        <v>98</v>
      </c>
      <c r="E100" s="19" t="n">
        <v>98</v>
      </c>
      <c r="F100" s="20" t="n">
        <f aca="false">CHOOSE($C$3,C100,D100,E100)</f>
        <v>98</v>
      </c>
      <c r="G100" s="4" t="s">
        <v>218</v>
      </c>
    </row>
    <row r="101" customFormat="false" ht="15" hidden="false" customHeight="false" outlineLevel="0" collapsed="false">
      <c r="A101" s="2" t="s">
        <v>219</v>
      </c>
      <c r="B101" s="2" t="s">
        <v>68</v>
      </c>
      <c r="C101" s="21" t="n">
        <v>607.85</v>
      </c>
      <c r="D101" s="21" t="n">
        <v>607.85</v>
      </c>
      <c r="E101" s="21" t="n">
        <v>607.85</v>
      </c>
      <c r="F101" s="22" t="n">
        <f aca="false">CHOOSE($C$3,C101,D101,E101)</f>
        <v>607.85</v>
      </c>
      <c r="G101" s="4" t="s">
        <v>220</v>
      </c>
    </row>
    <row r="102" customFormat="false" ht="15" hidden="false" customHeight="false" outlineLevel="0" collapsed="false">
      <c r="A102" s="2" t="s">
        <v>221</v>
      </c>
      <c r="B102" s="2" t="s">
        <v>222</v>
      </c>
      <c r="C102" s="19" t="n">
        <v>5</v>
      </c>
      <c r="D102" s="19" t="n">
        <v>5</v>
      </c>
      <c r="E102" s="19" t="n">
        <v>5</v>
      </c>
      <c r="F102" s="20" t="n">
        <f aca="false">CHOOSE($C$3,C102,D102,E102)</f>
        <v>5</v>
      </c>
      <c r="G102" s="4" t="s">
        <v>223</v>
      </c>
    </row>
    <row r="104" customFormat="false" ht="15" hidden="false" customHeight="false" outlineLevel="0" collapsed="false">
      <c r="A104" s="3" t="s">
        <v>224</v>
      </c>
    </row>
    <row r="105" customFormat="false" ht="15" hidden="false" customHeight="false" outlineLevel="0" collapsed="false">
      <c r="A105" s="15" t="s">
        <v>225</v>
      </c>
      <c r="B105" s="15" t="s">
        <v>226</v>
      </c>
      <c r="C105" s="15" t="s">
        <v>227</v>
      </c>
      <c r="D105" s="15" t="s">
        <v>228</v>
      </c>
      <c r="E105" s="15" t="s">
        <v>229</v>
      </c>
    </row>
    <row r="106" customFormat="false" ht="15" hidden="false" customHeight="false" outlineLevel="0" collapsed="false">
      <c r="A106" s="2" t="s">
        <v>230</v>
      </c>
      <c r="B106" s="2" t="n">
        <v>1</v>
      </c>
      <c r="C106" s="29" t="n">
        <v>0</v>
      </c>
      <c r="D106" s="29" t="n">
        <v>0</v>
      </c>
      <c r="E106" s="29" t="n">
        <v>1</v>
      </c>
    </row>
    <row r="107" customFormat="false" ht="15" hidden="false" customHeight="false" outlineLevel="0" collapsed="false">
      <c r="A107" s="2" t="s">
        <v>231</v>
      </c>
      <c r="B107" s="2" t="n">
        <v>2</v>
      </c>
      <c r="C107" s="29" t="n">
        <v>1</v>
      </c>
      <c r="D107" s="29" t="n">
        <v>0</v>
      </c>
      <c r="E107" s="29" t="n">
        <v>1</v>
      </c>
    </row>
    <row r="108" customFormat="false" ht="15" hidden="false" customHeight="false" outlineLevel="0" collapsed="false">
      <c r="A108" s="2" t="s">
        <v>232</v>
      </c>
      <c r="B108" s="2" t="n">
        <v>3</v>
      </c>
      <c r="C108" s="29" t="n">
        <v>0</v>
      </c>
      <c r="D108" s="29" t="n">
        <v>0</v>
      </c>
      <c r="E108" s="29" t="n">
        <v>1</v>
      </c>
    </row>
    <row r="109" customFormat="false" ht="15" hidden="false" customHeight="false" outlineLevel="0" collapsed="false">
      <c r="A109" s="2" t="s">
        <v>233</v>
      </c>
      <c r="B109" s="2" t="n">
        <v>4</v>
      </c>
      <c r="C109" s="29" t="n">
        <v>2</v>
      </c>
      <c r="D109" s="29" t="n">
        <v>1</v>
      </c>
      <c r="E109" s="29" t="n">
        <v>0</v>
      </c>
    </row>
    <row r="110" customFormat="false" ht="15" hidden="false" customHeight="false" outlineLevel="0" collapsed="false">
      <c r="A110" s="2" t="s">
        <v>234</v>
      </c>
      <c r="B110" s="2" t="n">
        <v>5</v>
      </c>
      <c r="C110" s="29" t="n">
        <v>1</v>
      </c>
      <c r="D110" s="29" t="n">
        <v>0</v>
      </c>
      <c r="E110" s="29" t="n">
        <v>0</v>
      </c>
    </row>
    <row r="111" customFormat="false" ht="15" hidden="false" customHeight="false" outlineLevel="0" collapsed="false">
      <c r="A111" s="2" t="s">
        <v>235</v>
      </c>
      <c r="B111" s="2" t="n">
        <v>6</v>
      </c>
      <c r="C111" s="29" t="n">
        <v>0</v>
      </c>
      <c r="D111" s="29" t="n">
        <v>0</v>
      </c>
      <c r="E111" s="29" t="n">
        <v>0</v>
      </c>
    </row>
    <row r="112" customFormat="false" ht="15" hidden="false" customHeight="false" outlineLevel="0" collapsed="false">
      <c r="A112" s="2" t="s">
        <v>236</v>
      </c>
      <c r="B112" s="2" t="n">
        <v>7</v>
      </c>
      <c r="C112" s="29" t="n">
        <v>2</v>
      </c>
      <c r="D112" s="29" t="n">
        <v>1</v>
      </c>
      <c r="E112" s="29" t="n">
        <v>0</v>
      </c>
    </row>
    <row r="113" customFormat="false" ht="15" hidden="false" customHeight="false" outlineLevel="0" collapsed="false">
      <c r="A113" s="2" t="s">
        <v>237</v>
      </c>
      <c r="B113" s="2" t="n">
        <v>8</v>
      </c>
      <c r="C113" s="29" t="n">
        <v>4</v>
      </c>
      <c r="D113" s="29" t="n">
        <v>3</v>
      </c>
      <c r="E113" s="29" t="n">
        <v>0</v>
      </c>
    </row>
    <row r="114" customFormat="false" ht="15" hidden="false" customHeight="false" outlineLevel="0" collapsed="false">
      <c r="A114" s="2" t="s">
        <v>238</v>
      </c>
      <c r="B114" s="2" t="n">
        <v>9</v>
      </c>
      <c r="C114" s="29" t="n">
        <v>0</v>
      </c>
      <c r="D114" s="29" t="n">
        <v>0</v>
      </c>
      <c r="E114" s="29" t="n">
        <v>0</v>
      </c>
    </row>
    <row r="115" customFormat="false" ht="15" hidden="false" customHeight="false" outlineLevel="0" collapsed="false">
      <c r="A115" s="2" t="s">
        <v>239</v>
      </c>
      <c r="B115" s="2" t="n">
        <v>10</v>
      </c>
      <c r="C115" s="29" t="n">
        <v>1</v>
      </c>
      <c r="D115" s="29" t="n">
        <v>0</v>
      </c>
      <c r="E115" s="29" t="n">
        <v>0</v>
      </c>
    </row>
    <row r="116" customFormat="false" ht="15" hidden="false" customHeight="false" outlineLevel="0" collapsed="false">
      <c r="A116" s="2" t="s">
        <v>240</v>
      </c>
      <c r="B116" s="2" t="n">
        <v>11</v>
      </c>
      <c r="C116" s="29" t="n">
        <v>0</v>
      </c>
      <c r="D116" s="29" t="n">
        <v>0</v>
      </c>
      <c r="E116" s="29" t="n">
        <v>1</v>
      </c>
    </row>
    <row r="117" customFormat="false" ht="15" hidden="false" customHeight="false" outlineLevel="0" collapsed="false">
      <c r="A117" s="2" t="s">
        <v>241</v>
      </c>
      <c r="B117" s="2" t="n">
        <v>12</v>
      </c>
      <c r="C117" s="29" t="n">
        <v>2</v>
      </c>
      <c r="D117" s="29" t="n">
        <v>1</v>
      </c>
      <c r="E117" s="29" t="n">
        <v>1</v>
      </c>
    </row>
    <row r="118" customFormat="false" ht="15" hidden="false" customHeight="false" outlineLevel="0" collapsed="false">
      <c r="A118" s="3" t="s">
        <v>242</v>
      </c>
      <c r="C118" s="3" t="n">
        <f aca="false">SUM(C106:C117)</f>
        <v>13</v>
      </c>
      <c r="D118" s="3" t="n">
        <f aca="false">SUM(D106:D117)</f>
        <v>6</v>
      </c>
      <c r="E118" s="3" t="n">
        <f aca="false">SUM(E106:E117)</f>
        <v>5</v>
      </c>
      <c r="F118" s="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8" min="3" style="0" width="10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4" t="str">
        <f aca="false">CONCATENATE("Case shown: ",Assumptions!$D$3,". All £ after Flat Rate VAT. Change inputs on the Assumptions sheet only.")</f>
        <v>Case shown: Target. All £ after Flat Rate VAT. Change inputs on the Assumptions sheet only.</v>
      </c>
    </row>
    <row r="3" customFormat="false" ht="15" hidden="false" customHeight="false" outlineLevel="0" collapsed="false">
      <c r="B3" s="3" t="s">
        <v>225</v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</row>
    <row r="4" customFormat="false" ht="15" hidden="false" customHeight="false" outlineLevel="0" collapsed="false">
      <c r="B4" s="3" t="s">
        <v>245</v>
      </c>
      <c r="C4" s="30" t="n">
        <f aca="false">EDATE(Assumptions!$F$7,C3-1)</f>
        <v>46631</v>
      </c>
      <c r="D4" s="30" t="n">
        <f aca="false">EDATE(Assumptions!$F$7,D3-1)</f>
        <v>46661</v>
      </c>
      <c r="E4" s="30" t="n">
        <f aca="false">EDATE(Assumptions!$F$7,E3-1)</f>
        <v>46692</v>
      </c>
      <c r="F4" s="30" t="n">
        <f aca="false">EDATE(Assumptions!$F$7,F3-1)</f>
        <v>46722</v>
      </c>
      <c r="G4" s="30" t="n">
        <f aca="false">EDATE(Assumptions!$F$7,G3-1)</f>
        <v>46753</v>
      </c>
      <c r="H4" s="30" t="n">
        <f aca="false">EDATE(Assumptions!$F$7,H3-1)</f>
        <v>46784</v>
      </c>
      <c r="I4" s="30" t="n">
        <f aca="false">EDATE(Assumptions!$F$7,I3-1)</f>
        <v>46813</v>
      </c>
      <c r="J4" s="30" t="n">
        <f aca="false">EDATE(Assumptions!$F$7,J3-1)</f>
        <v>46844</v>
      </c>
      <c r="K4" s="30" t="n">
        <f aca="false">EDATE(Assumptions!$F$7,K3-1)</f>
        <v>46874</v>
      </c>
      <c r="L4" s="30" t="n">
        <f aca="false">EDATE(Assumptions!$F$7,L3-1)</f>
        <v>46905</v>
      </c>
      <c r="M4" s="30" t="n">
        <f aca="false">EDATE(Assumptions!$F$7,M3-1)</f>
        <v>46935</v>
      </c>
      <c r="N4" s="30" t="n">
        <f aca="false">EDATE(Assumptions!$F$7,N3-1)</f>
        <v>46966</v>
      </c>
      <c r="O4" s="30" t="n">
        <f aca="false">EDATE(Assumptions!$F$7,O3-1)</f>
        <v>46997</v>
      </c>
      <c r="P4" s="30" t="n">
        <f aca="false">EDATE(Assumptions!$F$7,P3-1)</f>
        <v>47027</v>
      </c>
      <c r="Q4" s="30" t="n">
        <f aca="false">EDATE(Assumptions!$F$7,Q3-1)</f>
        <v>47058</v>
      </c>
      <c r="R4" s="30" t="n">
        <f aca="false">EDATE(Assumptions!$F$7,R3-1)</f>
        <v>47088</v>
      </c>
      <c r="S4" s="30" t="n">
        <f aca="false">EDATE(Assumptions!$F$7,S3-1)</f>
        <v>47119</v>
      </c>
      <c r="T4" s="30" t="n">
        <f aca="false">EDATE(Assumptions!$F$7,T3-1)</f>
        <v>47150</v>
      </c>
      <c r="U4" s="30" t="n">
        <f aca="false">EDATE(Assumptions!$F$7,U3-1)</f>
        <v>47178</v>
      </c>
      <c r="V4" s="30" t="n">
        <f aca="false">EDATE(Assumptions!$F$7,V3-1)</f>
        <v>47209</v>
      </c>
      <c r="W4" s="30" t="n">
        <f aca="false">EDATE(Assumptions!$F$7,W3-1)</f>
        <v>47239</v>
      </c>
      <c r="X4" s="30" t="n">
        <f aca="false">EDATE(Assumptions!$F$7,X3-1)</f>
        <v>47270</v>
      </c>
      <c r="Y4" s="30" t="n">
        <f aca="false">EDATE(Assumptions!$F$7,Y3-1)</f>
        <v>47300</v>
      </c>
      <c r="Z4" s="30" t="n">
        <f aca="false">EDATE(Assumptions!$F$7,Z3-1)</f>
        <v>47331</v>
      </c>
      <c r="AA4" s="30" t="n">
        <f aca="false">EDATE(Assumptions!$F$7,AA3-1)</f>
        <v>47362</v>
      </c>
      <c r="AB4" s="30" t="n">
        <f aca="false">EDATE(Assumptions!$F$7,AB3-1)</f>
        <v>47392</v>
      </c>
      <c r="AC4" s="30" t="n">
        <f aca="false">EDATE(Assumptions!$F$7,AC3-1)</f>
        <v>47423</v>
      </c>
      <c r="AD4" s="30" t="n">
        <f aca="false">EDATE(Assumptions!$F$7,AD3-1)</f>
        <v>47453</v>
      </c>
      <c r="AE4" s="30" t="n">
        <f aca="false">EDATE(Assumptions!$F$7,AE3-1)</f>
        <v>47484</v>
      </c>
      <c r="AF4" s="30" t="n">
        <f aca="false">EDATE(Assumptions!$F$7,AF3-1)</f>
        <v>47515</v>
      </c>
      <c r="AG4" s="30" t="n">
        <f aca="false">EDATE(Assumptions!$F$7,AG3-1)</f>
        <v>47543</v>
      </c>
      <c r="AH4" s="30" t="n">
        <f aca="false">EDATE(Assumptions!$F$7,AH3-1)</f>
        <v>47574</v>
      </c>
      <c r="AI4" s="30" t="n">
        <f aca="false">EDATE(Assumptions!$F$7,AI3-1)</f>
        <v>47604</v>
      </c>
      <c r="AJ4" s="30" t="n">
        <f aca="false">EDATE(Assumptions!$F$7,AJ3-1)</f>
        <v>47635</v>
      </c>
      <c r="AK4" s="30" t="n">
        <f aca="false">EDATE(Assumptions!$F$7,AK3-1)</f>
        <v>47665</v>
      </c>
      <c r="AL4" s="30" t="n">
        <f aca="false">EDATE(Assumptions!$F$7,AL3-1)</f>
        <v>47696</v>
      </c>
    </row>
    <row r="5" customFormat="false" ht="15" hidden="false" customHeight="false" outlineLevel="0" collapsed="false">
      <c r="B5" s="2" t="s">
        <v>246</v>
      </c>
      <c r="C5" s="31" t="n">
        <f aca="false">ROUNDUP(C3/12,0)</f>
        <v>1</v>
      </c>
      <c r="D5" s="31" t="n">
        <f aca="false">ROUNDUP(D3/12,0)</f>
        <v>1</v>
      </c>
      <c r="E5" s="31" t="n">
        <f aca="false">ROUNDUP(E3/12,0)</f>
        <v>1</v>
      </c>
      <c r="F5" s="31" t="n">
        <f aca="false">ROUNDUP(F3/12,0)</f>
        <v>1</v>
      </c>
      <c r="G5" s="31" t="n">
        <f aca="false">ROUNDUP(G3/12,0)</f>
        <v>1</v>
      </c>
      <c r="H5" s="31" t="n">
        <f aca="false">ROUNDUP(H3/12,0)</f>
        <v>1</v>
      </c>
      <c r="I5" s="31" t="n">
        <f aca="false">ROUNDUP(I3/12,0)</f>
        <v>1</v>
      </c>
      <c r="J5" s="31" t="n">
        <f aca="false">ROUNDUP(J3/12,0)</f>
        <v>1</v>
      </c>
      <c r="K5" s="31" t="n">
        <f aca="false">ROUNDUP(K3/12,0)</f>
        <v>1</v>
      </c>
      <c r="L5" s="31" t="n">
        <f aca="false">ROUNDUP(L3/12,0)</f>
        <v>1</v>
      </c>
      <c r="M5" s="31" t="n">
        <f aca="false">ROUNDUP(M3/12,0)</f>
        <v>1</v>
      </c>
      <c r="N5" s="31" t="n">
        <f aca="false">ROUNDUP(N3/12,0)</f>
        <v>1</v>
      </c>
      <c r="O5" s="31" t="n">
        <f aca="false">ROUNDUP(O3/12,0)</f>
        <v>2</v>
      </c>
      <c r="P5" s="31" t="n">
        <f aca="false">ROUNDUP(P3/12,0)</f>
        <v>2</v>
      </c>
      <c r="Q5" s="31" t="n">
        <f aca="false">ROUNDUP(Q3/12,0)</f>
        <v>2</v>
      </c>
      <c r="R5" s="31" t="n">
        <f aca="false">ROUNDUP(R3/12,0)</f>
        <v>2</v>
      </c>
      <c r="S5" s="31" t="n">
        <f aca="false">ROUNDUP(S3/12,0)</f>
        <v>2</v>
      </c>
      <c r="T5" s="31" t="n">
        <f aca="false">ROUNDUP(T3/12,0)</f>
        <v>2</v>
      </c>
      <c r="U5" s="31" t="n">
        <f aca="false">ROUNDUP(U3/12,0)</f>
        <v>2</v>
      </c>
      <c r="V5" s="31" t="n">
        <f aca="false">ROUNDUP(V3/12,0)</f>
        <v>2</v>
      </c>
      <c r="W5" s="31" t="n">
        <f aca="false">ROUNDUP(W3/12,0)</f>
        <v>2</v>
      </c>
      <c r="X5" s="31" t="n">
        <f aca="false">ROUNDUP(X3/12,0)</f>
        <v>2</v>
      </c>
      <c r="Y5" s="31" t="n">
        <f aca="false">ROUNDUP(Y3/12,0)</f>
        <v>2</v>
      </c>
      <c r="Z5" s="31" t="n">
        <f aca="false">ROUNDUP(Z3/12,0)</f>
        <v>2</v>
      </c>
      <c r="AA5" s="31" t="n">
        <f aca="false">ROUNDUP(AA3/12,0)</f>
        <v>3</v>
      </c>
      <c r="AB5" s="31" t="n">
        <f aca="false">ROUNDUP(AB3/12,0)</f>
        <v>3</v>
      </c>
      <c r="AC5" s="31" t="n">
        <f aca="false">ROUNDUP(AC3/12,0)</f>
        <v>3</v>
      </c>
      <c r="AD5" s="31" t="n">
        <f aca="false">ROUNDUP(AD3/12,0)</f>
        <v>3</v>
      </c>
      <c r="AE5" s="31" t="n">
        <f aca="false">ROUNDUP(AE3/12,0)</f>
        <v>3</v>
      </c>
      <c r="AF5" s="31" t="n">
        <f aca="false">ROUNDUP(AF3/12,0)</f>
        <v>3</v>
      </c>
      <c r="AG5" s="31" t="n">
        <f aca="false">ROUNDUP(AG3/12,0)</f>
        <v>3</v>
      </c>
      <c r="AH5" s="31" t="n">
        <f aca="false">ROUNDUP(AH3/12,0)</f>
        <v>3</v>
      </c>
      <c r="AI5" s="31" t="n">
        <f aca="false">ROUNDUP(AI3/12,0)</f>
        <v>3</v>
      </c>
      <c r="AJ5" s="31" t="n">
        <f aca="false">ROUNDUP(AJ3/12,0)</f>
        <v>3</v>
      </c>
      <c r="AK5" s="31" t="n">
        <f aca="false">ROUNDUP(AK3/12,0)</f>
        <v>3</v>
      </c>
      <c r="AL5" s="31" t="n">
        <f aca="false">ROUNDUP(AL3/12,0)</f>
        <v>3</v>
      </c>
    </row>
    <row r="6" customFormat="false" ht="15" hidden="false" customHeight="false" outlineLevel="0" collapsed="false">
      <c r="B6" s="2" t="s">
        <v>247</v>
      </c>
      <c r="C6" s="31" t="n">
        <f aca="false">MONTH(C4)</f>
        <v>9</v>
      </c>
      <c r="D6" s="31" t="n">
        <f aca="false">MONTH(D4)</f>
        <v>10</v>
      </c>
      <c r="E6" s="31" t="n">
        <f aca="false">MONTH(E4)</f>
        <v>11</v>
      </c>
      <c r="F6" s="31" t="n">
        <f aca="false">MONTH(F4)</f>
        <v>12</v>
      </c>
      <c r="G6" s="31" t="n">
        <f aca="false">MONTH(G4)</f>
        <v>1</v>
      </c>
      <c r="H6" s="31" t="n">
        <f aca="false">MONTH(H4)</f>
        <v>2</v>
      </c>
      <c r="I6" s="31" t="n">
        <f aca="false">MONTH(I4)</f>
        <v>3</v>
      </c>
      <c r="J6" s="31" t="n">
        <f aca="false">MONTH(J4)</f>
        <v>4</v>
      </c>
      <c r="K6" s="31" t="n">
        <f aca="false">MONTH(K4)</f>
        <v>5</v>
      </c>
      <c r="L6" s="31" t="n">
        <f aca="false">MONTH(L4)</f>
        <v>6</v>
      </c>
      <c r="M6" s="31" t="n">
        <f aca="false">MONTH(M4)</f>
        <v>7</v>
      </c>
      <c r="N6" s="31" t="n">
        <f aca="false">MONTH(N4)</f>
        <v>8</v>
      </c>
      <c r="O6" s="31" t="n">
        <f aca="false">MONTH(O4)</f>
        <v>9</v>
      </c>
      <c r="P6" s="31" t="n">
        <f aca="false">MONTH(P4)</f>
        <v>10</v>
      </c>
      <c r="Q6" s="31" t="n">
        <f aca="false">MONTH(Q4)</f>
        <v>11</v>
      </c>
      <c r="R6" s="31" t="n">
        <f aca="false">MONTH(R4)</f>
        <v>12</v>
      </c>
      <c r="S6" s="31" t="n">
        <f aca="false">MONTH(S4)</f>
        <v>1</v>
      </c>
      <c r="T6" s="31" t="n">
        <f aca="false">MONTH(T4)</f>
        <v>2</v>
      </c>
      <c r="U6" s="31" t="n">
        <f aca="false">MONTH(U4)</f>
        <v>3</v>
      </c>
      <c r="V6" s="31" t="n">
        <f aca="false">MONTH(V4)</f>
        <v>4</v>
      </c>
      <c r="W6" s="31" t="n">
        <f aca="false">MONTH(W4)</f>
        <v>5</v>
      </c>
      <c r="X6" s="31" t="n">
        <f aca="false">MONTH(X4)</f>
        <v>6</v>
      </c>
      <c r="Y6" s="31" t="n">
        <f aca="false">MONTH(Y4)</f>
        <v>7</v>
      </c>
      <c r="Z6" s="31" t="n">
        <f aca="false">MONTH(Z4)</f>
        <v>8</v>
      </c>
      <c r="AA6" s="31" t="n">
        <f aca="false">MONTH(AA4)</f>
        <v>9</v>
      </c>
      <c r="AB6" s="31" t="n">
        <f aca="false">MONTH(AB4)</f>
        <v>10</v>
      </c>
      <c r="AC6" s="31" t="n">
        <f aca="false">MONTH(AC4)</f>
        <v>11</v>
      </c>
      <c r="AD6" s="31" t="n">
        <f aca="false">MONTH(AD4)</f>
        <v>12</v>
      </c>
      <c r="AE6" s="31" t="n">
        <f aca="false">MONTH(AE4)</f>
        <v>1</v>
      </c>
      <c r="AF6" s="31" t="n">
        <f aca="false">MONTH(AF4)</f>
        <v>2</v>
      </c>
      <c r="AG6" s="31" t="n">
        <f aca="false">MONTH(AG4)</f>
        <v>3</v>
      </c>
      <c r="AH6" s="31" t="n">
        <f aca="false">MONTH(AH4)</f>
        <v>4</v>
      </c>
      <c r="AI6" s="31" t="n">
        <f aca="false">MONTH(AI4)</f>
        <v>5</v>
      </c>
      <c r="AJ6" s="31" t="n">
        <f aca="false">MONTH(AJ4)</f>
        <v>6</v>
      </c>
      <c r="AK6" s="31" t="n">
        <f aca="false">MONTH(AK4)</f>
        <v>7</v>
      </c>
      <c r="AL6" s="31" t="n">
        <f aca="false">MONTH(AL4)</f>
        <v>8</v>
      </c>
    </row>
    <row r="8" customFormat="false" ht="15" hidden="false" customHeight="false" outlineLevel="0" collapsed="false">
      <c r="B8" s="15" t="s">
        <v>248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</row>
    <row r="9" customFormat="false" ht="15" hidden="false" customHeight="false" outlineLevel="0" collapsed="false">
      <c r="B9" s="2" t="s">
        <v>249</v>
      </c>
      <c r="C9" s="6" t="n">
        <f aca="false">IF(C3&lt;=12,Assumptions!$F$8+(Assumptions!$F$9-Assumptions!$F$8)*C3/12,IF(C3&lt;=24,Assumptions!$F$9+(Assumptions!$F$10-Assumptions!$F$9)*(C3-12)/12,Assumptions!$F$10+(Assumptions!$F$11-Assumptions!$F$10)*(C3-24)/12))</f>
        <v>110</v>
      </c>
      <c r="D9" s="6" t="n">
        <f aca="false">IF(D3&lt;=12,Assumptions!$F$8+(Assumptions!$F$9-Assumptions!$F$8)*D3/12,IF(D3&lt;=24,Assumptions!$F$9+(Assumptions!$F$10-Assumptions!$F$9)*(D3-12)/12,Assumptions!$F$10+(Assumptions!$F$11-Assumptions!$F$10)*(D3-24)/12))</f>
        <v>120</v>
      </c>
      <c r="E9" s="6" t="n">
        <f aca="false">IF(E3&lt;=12,Assumptions!$F$8+(Assumptions!$F$9-Assumptions!$F$8)*E3/12,IF(E3&lt;=24,Assumptions!$F$9+(Assumptions!$F$10-Assumptions!$F$9)*(E3-12)/12,Assumptions!$F$10+(Assumptions!$F$11-Assumptions!$F$10)*(E3-24)/12))</f>
        <v>130</v>
      </c>
      <c r="F9" s="6" t="n">
        <f aca="false">IF(F3&lt;=12,Assumptions!$F$8+(Assumptions!$F$9-Assumptions!$F$8)*F3/12,IF(F3&lt;=24,Assumptions!$F$9+(Assumptions!$F$10-Assumptions!$F$9)*(F3-12)/12,Assumptions!$F$10+(Assumptions!$F$11-Assumptions!$F$10)*(F3-24)/12))</f>
        <v>140</v>
      </c>
      <c r="G9" s="6" t="n">
        <f aca="false">IF(G3&lt;=12,Assumptions!$F$8+(Assumptions!$F$9-Assumptions!$F$8)*G3/12,IF(G3&lt;=24,Assumptions!$F$9+(Assumptions!$F$10-Assumptions!$F$9)*(G3-12)/12,Assumptions!$F$10+(Assumptions!$F$11-Assumptions!$F$10)*(G3-24)/12))</f>
        <v>150</v>
      </c>
      <c r="H9" s="6" t="n">
        <f aca="false">IF(H3&lt;=12,Assumptions!$F$8+(Assumptions!$F$9-Assumptions!$F$8)*H3/12,IF(H3&lt;=24,Assumptions!$F$9+(Assumptions!$F$10-Assumptions!$F$9)*(H3-12)/12,Assumptions!$F$10+(Assumptions!$F$11-Assumptions!$F$10)*(H3-24)/12))</f>
        <v>160</v>
      </c>
      <c r="I9" s="6" t="n">
        <f aca="false">IF(I3&lt;=12,Assumptions!$F$8+(Assumptions!$F$9-Assumptions!$F$8)*I3/12,IF(I3&lt;=24,Assumptions!$F$9+(Assumptions!$F$10-Assumptions!$F$9)*(I3-12)/12,Assumptions!$F$10+(Assumptions!$F$11-Assumptions!$F$10)*(I3-24)/12))</f>
        <v>170</v>
      </c>
      <c r="J9" s="6" t="n">
        <f aca="false">IF(J3&lt;=12,Assumptions!$F$8+(Assumptions!$F$9-Assumptions!$F$8)*J3/12,IF(J3&lt;=24,Assumptions!$F$9+(Assumptions!$F$10-Assumptions!$F$9)*(J3-12)/12,Assumptions!$F$10+(Assumptions!$F$11-Assumptions!$F$10)*(J3-24)/12))</f>
        <v>180</v>
      </c>
      <c r="K9" s="6" t="n">
        <f aca="false">IF(K3&lt;=12,Assumptions!$F$8+(Assumptions!$F$9-Assumptions!$F$8)*K3/12,IF(K3&lt;=24,Assumptions!$F$9+(Assumptions!$F$10-Assumptions!$F$9)*(K3-12)/12,Assumptions!$F$10+(Assumptions!$F$11-Assumptions!$F$10)*(K3-24)/12))</f>
        <v>190</v>
      </c>
      <c r="L9" s="6" t="n">
        <f aca="false">IF(L3&lt;=12,Assumptions!$F$8+(Assumptions!$F$9-Assumptions!$F$8)*L3/12,IF(L3&lt;=24,Assumptions!$F$9+(Assumptions!$F$10-Assumptions!$F$9)*(L3-12)/12,Assumptions!$F$10+(Assumptions!$F$11-Assumptions!$F$10)*(L3-24)/12))</f>
        <v>200</v>
      </c>
      <c r="M9" s="6" t="n">
        <f aca="false">IF(M3&lt;=12,Assumptions!$F$8+(Assumptions!$F$9-Assumptions!$F$8)*M3/12,IF(M3&lt;=24,Assumptions!$F$9+(Assumptions!$F$10-Assumptions!$F$9)*(M3-12)/12,Assumptions!$F$10+(Assumptions!$F$11-Assumptions!$F$10)*(M3-24)/12))</f>
        <v>210</v>
      </c>
      <c r="N9" s="6" t="n">
        <f aca="false">IF(N3&lt;=12,Assumptions!$F$8+(Assumptions!$F$9-Assumptions!$F$8)*N3/12,IF(N3&lt;=24,Assumptions!$F$9+(Assumptions!$F$10-Assumptions!$F$9)*(N3-12)/12,Assumptions!$F$10+(Assumptions!$F$11-Assumptions!$F$10)*(N3-24)/12))</f>
        <v>220</v>
      </c>
      <c r="O9" s="6" t="n">
        <f aca="false">IF(O3&lt;=12,Assumptions!$F$8+(Assumptions!$F$9-Assumptions!$F$8)*O3/12,IF(O3&lt;=24,Assumptions!$F$9+(Assumptions!$F$10-Assumptions!$F$9)*(O3-12)/12,Assumptions!$F$10+(Assumptions!$F$11-Assumptions!$F$10)*(O3-24)/12))</f>
        <v>228.333333333333</v>
      </c>
      <c r="P9" s="6" t="n">
        <f aca="false">IF(P3&lt;=12,Assumptions!$F$8+(Assumptions!$F$9-Assumptions!$F$8)*P3/12,IF(P3&lt;=24,Assumptions!$F$9+(Assumptions!$F$10-Assumptions!$F$9)*(P3-12)/12,Assumptions!$F$10+(Assumptions!$F$11-Assumptions!$F$10)*(P3-24)/12))</f>
        <v>236.666666666667</v>
      </c>
      <c r="Q9" s="6" t="n">
        <f aca="false">IF(Q3&lt;=12,Assumptions!$F$8+(Assumptions!$F$9-Assumptions!$F$8)*Q3/12,IF(Q3&lt;=24,Assumptions!$F$9+(Assumptions!$F$10-Assumptions!$F$9)*(Q3-12)/12,Assumptions!$F$10+(Assumptions!$F$11-Assumptions!$F$10)*(Q3-24)/12))</f>
        <v>245</v>
      </c>
      <c r="R9" s="6" t="n">
        <f aca="false">IF(R3&lt;=12,Assumptions!$F$8+(Assumptions!$F$9-Assumptions!$F$8)*R3/12,IF(R3&lt;=24,Assumptions!$F$9+(Assumptions!$F$10-Assumptions!$F$9)*(R3-12)/12,Assumptions!$F$10+(Assumptions!$F$11-Assumptions!$F$10)*(R3-24)/12))</f>
        <v>253.333333333333</v>
      </c>
      <c r="S9" s="6" t="n">
        <f aca="false">IF(S3&lt;=12,Assumptions!$F$8+(Assumptions!$F$9-Assumptions!$F$8)*S3/12,IF(S3&lt;=24,Assumptions!$F$9+(Assumptions!$F$10-Assumptions!$F$9)*(S3-12)/12,Assumptions!$F$10+(Assumptions!$F$11-Assumptions!$F$10)*(S3-24)/12))</f>
        <v>261.666666666667</v>
      </c>
      <c r="T9" s="6" t="n">
        <f aca="false">IF(T3&lt;=12,Assumptions!$F$8+(Assumptions!$F$9-Assumptions!$F$8)*T3/12,IF(T3&lt;=24,Assumptions!$F$9+(Assumptions!$F$10-Assumptions!$F$9)*(T3-12)/12,Assumptions!$F$10+(Assumptions!$F$11-Assumptions!$F$10)*(T3-24)/12))</f>
        <v>270</v>
      </c>
      <c r="U9" s="6" t="n">
        <f aca="false">IF(U3&lt;=12,Assumptions!$F$8+(Assumptions!$F$9-Assumptions!$F$8)*U3/12,IF(U3&lt;=24,Assumptions!$F$9+(Assumptions!$F$10-Assumptions!$F$9)*(U3-12)/12,Assumptions!$F$10+(Assumptions!$F$11-Assumptions!$F$10)*(U3-24)/12))</f>
        <v>278.333333333333</v>
      </c>
      <c r="V9" s="6" t="n">
        <f aca="false">IF(V3&lt;=12,Assumptions!$F$8+(Assumptions!$F$9-Assumptions!$F$8)*V3/12,IF(V3&lt;=24,Assumptions!$F$9+(Assumptions!$F$10-Assumptions!$F$9)*(V3-12)/12,Assumptions!$F$10+(Assumptions!$F$11-Assumptions!$F$10)*(V3-24)/12))</f>
        <v>286.666666666667</v>
      </c>
      <c r="W9" s="6" t="n">
        <f aca="false">IF(W3&lt;=12,Assumptions!$F$8+(Assumptions!$F$9-Assumptions!$F$8)*W3/12,IF(W3&lt;=24,Assumptions!$F$9+(Assumptions!$F$10-Assumptions!$F$9)*(W3-12)/12,Assumptions!$F$10+(Assumptions!$F$11-Assumptions!$F$10)*(W3-24)/12))</f>
        <v>295</v>
      </c>
      <c r="X9" s="6" t="n">
        <f aca="false">IF(X3&lt;=12,Assumptions!$F$8+(Assumptions!$F$9-Assumptions!$F$8)*X3/12,IF(X3&lt;=24,Assumptions!$F$9+(Assumptions!$F$10-Assumptions!$F$9)*(X3-12)/12,Assumptions!$F$10+(Assumptions!$F$11-Assumptions!$F$10)*(X3-24)/12))</f>
        <v>303.333333333333</v>
      </c>
      <c r="Y9" s="6" t="n">
        <f aca="false">IF(Y3&lt;=12,Assumptions!$F$8+(Assumptions!$F$9-Assumptions!$F$8)*Y3/12,IF(Y3&lt;=24,Assumptions!$F$9+(Assumptions!$F$10-Assumptions!$F$9)*(Y3-12)/12,Assumptions!$F$10+(Assumptions!$F$11-Assumptions!$F$10)*(Y3-24)/12))</f>
        <v>311.666666666667</v>
      </c>
      <c r="Z9" s="6" t="n">
        <f aca="false">IF(Z3&lt;=12,Assumptions!$F$8+(Assumptions!$F$9-Assumptions!$F$8)*Z3/12,IF(Z3&lt;=24,Assumptions!$F$9+(Assumptions!$F$10-Assumptions!$F$9)*(Z3-12)/12,Assumptions!$F$10+(Assumptions!$F$11-Assumptions!$F$10)*(Z3-24)/12))</f>
        <v>320</v>
      </c>
      <c r="AA9" s="6" t="n">
        <f aca="false">IF(AA3&lt;=12,Assumptions!$F$8+(Assumptions!$F$9-Assumptions!$F$8)*AA3/12,IF(AA3&lt;=24,Assumptions!$F$9+(Assumptions!$F$10-Assumptions!$F$9)*(AA3-12)/12,Assumptions!$F$10+(Assumptions!$F$11-Assumptions!$F$10)*(AA3-24)/12))</f>
        <v>326.666666666667</v>
      </c>
      <c r="AB9" s="6" t="n">
        <f aca="false">IF(AB3&lt;=12,Assumptions!$F$8+(Assumptions!$F$9-Assumptions!$F$8)*AB3/12,IF(AB3&lt;=24,Assumptions!$F$9+(Assumptions!$F$10-Assumptions!$F$9)*(AB3-12)/12,Assumptions!$F$10+(Assumptions!$F$11-Assumptions!$F$10)*(AB3-24)/12))</f>
        <v>333.333333333333</v>
      </c>
      <c r="AC9" s="6" t="n">
        <f aca="false">IF(AC3&lt;=12,Assumptions!$F$8+(Assumptions!$F$9-Assumptions!$F$8)*AC3/12,IF(AC3&lt;=24,Assumptions!$F$9+(Assumptions!$F$10-Assumptions!$F$9)*(AC3-12)/12,Assumptions!$F$10+(Assumptions!$F$11-Assumptions!$F$10)*(AC3-24)/12))</f>
        <v>340</v>
      </c>
      <c r="AD9" s="6" t="n">
        <f aca="false">IF(AD3&lt;=12,Assumptions!$F$8+(Assumptions!$F$9-Assumptions!$F$8)*AD3/12,IF(AD3&lt;=24,Assumptions!$F$9+(Assumptions!$F$10-Assumptions!$F$9)*(AD3-12)/12,Assumptions!$F$10+(Assumptions!$F$11-Assumptions!$F$10)*(AD3-24)/12))</f>
        <v>346.666666666667</v>
      </c>
      <c r="AE9" s="6" t="n">
        <f aca="false">IF(AE3&lt;=12,Assumptions!$F$8+(Assumptions!$F$9-Assumptions!$F$8)*AE3/12,IF(AE3&lt;=24,Assumptions!$F$9+(Assumptions!$F$10-Assumptions!$F$9)*(AE3-12)/12,Assumptions!$F$10+(Assumptions!$F$11-Assumptions!$F$10)*(AE3-24)/12))</f>
        <v>353.333333333333</v>
      </c>
      <c r="AF9" s="6" t="n">
        <f aca="false">IF(AF3&lt;=12,Assumptions!$F$8+(Assumptions!$F$9-Assumptions!$F$8)*AF3/12,IF(AF3&lt;=24,Assumptions!$F$9+(Assumptions!$F$10-Assumptions!$F$9)*(AF3-12)/12,Assumptions!$F$10+(Assumptions!$F$11-Assumptions!$F$10)*(AF3-24)/12))</f>
        <v>360</v>
      </c>
      <c r="AG9" s="6" t="n">
        <f aca="false">IF(AG3&lt;=12,Assumptions!$F$8+(Assumptions!$F$9-Assumptions!$F$8)*AG3/12,IF(AG3&lt;=24,Assumptions!$F$9+(Assumptions!$F$10-Assumptions!$F$9)*(AG3-12)/12,Assumptions!$F$10+(Assumptions!$F$11-Assumptions!$F$10)*(AG3-24)/12))</f>
        <v>366.666666666667</v>
      </c>
      <c r="AH9" s="6" t="n">
        <f aca="false">IF(AH3&lt;=12,Assumptions!$F$8+(Assumptions!$F$9-Assumptions!$F$8)*AH3/12,IF(AH3&lt;=24,Assumptions!$F$9+(Assumptions!$F$10-Assumptions!$F$9)*(AH3-12)/12,Assumptions!$F$10+(Assumptions!$F$11-Assumptions!$F$10)*(AH3-24)/12))</f>
        <v>373.333333333333</v>
      </c>
      <c r="AI9" s="6" t="n">
        <f aca="false">IF(AI3&lt;=12,Assumptions!$F$8+(Assumptions!$F$9-Assumptions!$F$8)*AI3/12,IF(AI3&lt;=24,Assumptions!$F$9+(Assumptions!$F$10-Assumptions!$F$9)*(AI3-12)/12,Assumptions!$F$10+(Assumptions!$F$11-Assumptions!$F$10)*(AI3-24)/12))</f>
        <v>380</v>
      </c>
      <c r="AJ9" s="6" t="n">
        <f aca="false">IF(AJ3&lt;=12,Assumptions!$F$8+(Assumptions!$F$9-Assumptions!$F$8)*AJ3/12,IF(AJ3&lt;=24,Assumptions!$F$9+(Assumptions!$F$10-Assumptions!$F$9)*(AJ3-12)/12,Assumptions!$F$10+(Assumptions!$F$11-Assumptions!$F$10)*(AJ3-24)/12))</f>
        <v>386.666666666667</v>
      </c>
      <c r="AK9" s="6" t="n">
        <f aca="false">IF(AK3&lt;=12,Assumptions!$F$8+(Assumptions!$F$9-Assumptions!$F$8)*AK3/12,IF(AK3&lt;=24,Assumptions!$F$9+(Assumptions!$F$10-Assumptions!$F$9)*(AK3-12)/12,Assumptions!$F$10+(Assumptions!$F$11-Assumptions!$F$10)*(AK3-24)/12))</f>
        <v>393.333333333333</v>
      </c>
      <c r="AL9" s="6" t="n">
        <f aca="false">IF(AL3&lt;=12,Assumptions!$F$8+(Assumptions!$F$9-Assumptions!$F$8)*AL3/12,IF(AL3&lt;=24,Assumptions!$F$9+(Assumptions!$F$10-Assumptions!$F$9)*(AL3-12)/12,Assumptions!$F$10+(Assumptions!$F$11-Assumptions!$F$10)*(AL3-24)/12))</f>
        <v>400</v>
      </c>
    </row>
    <row r="10" customFormat="false" ht="15" hidden="false" customHeight="false" outlineLevel="0" collapsed="false">
      <c r="B10" s="2" t="s">
        <v>250</v>
      </c>
      <c r="C10" s="6" t="n">
        <f aca="false">C9*Assumptions!$F$13</f>
        <v>27.5</v>
      </c>
      <c r="D10" s="6" t="n">
        <f aca="false">D9*Assumptions!$F$13</f>
        <v>30</v>
      </c>
      <c r="E10" s="6" t="n">
        <f aca="false">E9*Assumptions!$F$13</f>
        <v>32.5</v>
      </c>
      <c r="F10" s="6" t="n">
        <f aca="false">F9*Assumptions!$F$13</f>
        <v>35</v>
      </c>
      <c r="G10" s="6" t="n">
        <f aca="false">G9*Assumptions!$F$13</f>
        <v>37.5</v>
      </c>
      <c r="H10" s="6" t="n">
        <f aca="false">H9*Assumptions!$F$13</f>
        <v>40</v>
      </c>
      <c r="I10" s="6" t="n">
        <f aca="false">I9*Assumptions!$F$13</f>
        <v>42.5</v>
      </c>
      <c r="J10" s="6" t="n">
        <f aca="false">J9*Assumptions!$F$13</f>
        <v>45</v>
      </c>
      <c r="K10" s="6" t="n">
        <f aca="false">K9*Assumptions!$F$13</f>
        <v>47.5</v>
      </c>
      <c r="L10" s="6" t="n">
        <f aca="false">L9*Assumptions!$F$13</f>
        <v>50</v>
      </c>
      <c r="M10" s="6" t="n">
        <f aca="false">M9*Assumptions!$F$13</f>
        <v>52.5</v>
      </c>
      <c r="N10" s="6" t="n">
        <f aca="false">N9*Assumptions!$F$13</f>
        <v>55</v>
      </c>
      <c r="O10" s="6" t="n">
        <f aca="false">O9*Assumptions!$F$13</f>
        <v>57.0833333333333</v>
      </c>
      <c r="P10" s="6" t="n">
        <f aca="false">P9*Assumptions!$F$13</f>
        <v>59.1666666666667</v>
      </c>
      <c r="Q10" s="6" t="n">
        <f aca="false">Q9*Assumptions!$F$13</f>
        <v>61.25</v>
      </c>
      <c r="R10" s="6" t="n">
        <f aca="false">R9*Assumptions!$F$13</f>
        <v>63.3333333333333</v>
      </c>
      <c r="S10" s="6" t="n">
        <f aca="false">S9*Assumptions!$F$13</f>
        <v>65.4166666666667</v>
      </c>
      <c r="T10" s="6" t="n">
        <f aca="false">T9*Assumptions!$F$13</f>
        <v>67.5</v>
      </c>
      <c r="U10" s="6" t="n">
        <f aca="false">U9*Assumptions!$F$13</f>
        <v>69.5833333333333</v>
      </c>
      <c r="V10" s="6" t="n">
        <f aca="false">V9*Assumptions!$F$13</f>
        <v>71.6666666666667</v>
      </c>
      <c r="W10" s="6" t="n">
        <f aca="false">W9*Assumptions!$F$13</f>
        <v>73.75</v>
      </c>
      <c r="X10" s="6" t="n">
        <f aca="false">X9*Assumptions!$F$13</f>
        <v>75.8333333333333</v>
      </c>
      <c r="Y10" s="6" t="n">
        <f aca="false">Y9*Assumptions!$F$13</f>
        <v>77.9166666666667</v>
      </c>
      <c r="Z10" s="6" t="n">
        <f aca="false">Z9*Assumptions!$F$13</f>
        <v>80</v>
      </c>
      <c r="AA10" s="6" t="n">
        <f aca="false">AA9*Assumptions!$F$13</f>
        <v>81.6666666666667</v>
      </c>
      <c r="AB10" s="6" t="n">
        <f aca="false">AB9*Assumptions!$F$13</f>
        <v>83.3333333333333</v>
      </c>
      <c r="AC10" s="6" t="n">
        <f aca="false">AC9*Assumptions!$F$13</f>
        <v>85</v>
      </c>
      <c r="AD10" s="6" t="n">
        <f aca="false">AD9*Assumptions!$F$13</f>
        <v>86.6666666666667</v>
      </c>
      <c r="AE10" s="6" t="n">
        <f aca="false">AE9*Assumptions!$F$13</f>
        <v>88.3333333333333</v>
      </c>
      <c r="AF10" s="6" t="n">
        <f aca="false">AF9*Assumptions!$F$13</f>
        <v>90</v>
      </c>
      <c r="AG10" s="6" t="n">
        <f aca="false">AG9*Assumptions!$F$13</f>
        <v>91.6666666666667</v>
      </c>
      <c r="AH10" s="6" t="n">
        <f aca="false">AH9*Assumptions!$F$13</f>
        <v>93.3333333333333</v>
      </c>
      <c r="AI10" s="6" t="n">
        <f aca="false">AI9*Assumptions!$F$13</f>
        <v>95</v>
      </c>
      <c r="AJ10" s="6" t="n">
        <f aca="false">AJ9*Assumptions!$F$13</f>
        <v>96.6666666666667</v>
      </c>
      <c r="AK10" s="6" t="n">
        <f aca="false">AK9*Assumptions!$F$13</f>
        <v>98.3333333333333</v>
      </c>
      <c r="AL10" s="6" t="n">
        <f aca="false">AL9*Assumptions!$F$13</f>
        <v>100</v>
      </c>
    </row>
    <row r="11" customFormat="false" ht="15" hidden="false" customHeight="false" outlineLevel="0" collapsed="false">
      <c r="B11" s="2" t="s">
        <v>251</v>
      </c>
      <c r="C11" s="6" t="n">
        <f aca="false">C9*Assumptions!$F$15</f>
        <v>8.8</v>
      </c>
      <c r="D11" s="6" t="n">
        <f aca="false">D9*Assumptions!$F$15</f>
        <v>9.6</v>
      </c>
      <c r="E11" s="6" t="n">
        <f aca="false">E9*Assumptions!$F$15</f>
        <v>10.4</v>
      </c>
      <c r="F11" s="6" t="n">
        <f aca="false">F9*Assumptions!$F$15</f>
        <v>11.2</v>
      </c>
      <c r="G11" s="6" t="n">
        <f aca="false">G9*Assumptions!$F$15</f>
        <v>12</v>
      </c>
      <c r="H11" s="6" t="n">
        <f aca="false">H9*Assumptions!$F$15</f>
        <v>12.8</v>
      </c>
      <c r="I11" s="6" t="n">
        <f aca="false">I9*Assumptions!$F$15</f>
        <v>13.6</v>
      </c>
      <c r="J11" s="6" t="n">
        <f aca="false">J9*Assumptions!$F$15</f>
        <v>14.4</v>
      </c>
      <c r="K11" s="6" t="n">
        <f aca="false">K9*Assumptions!$F$15</f>
        <v>15.2</v>
      </c>
      <c r="L11" s="6" t="n">
        <f aca="false">L9*Assumptions!$F$15</f>
        <v>16</v>
      </c>
      <c r="M11" s="6" t="n">
        <f aca="false">M9*Assumptions!$F$15</f>
        <v>16.8</v>
      </c>
      <c r="N11" s="6" t="n">
        <f aca="false">N9*Assumptions!$F$15</f>
        <v>17.6</v>
      </c>
      <c r="O11" s="6" t="n">
        <f aca="false">O9*Assumptions!$F$15</f>
        <v>18.2666666666667</v>
      </c>
      <c r="P11" s="6" t="n">
        <f aca="false">P9*Assumptions!$F$15</f>
        <v>18.9333333333333</v>
      </c>
      <c r="Q11" s="6" t="n">
        <f aca="false">Q9*Assumptions!$F$15</f>
        <v>19.6</v>
      </c>
      <c r="R11" s="6" t="n">
        <f aca="false">R9*Assumptions!$F$15</f>
        <v>20.2666666666667</v>
      </c>
      <c r="S11" s="6" t="n">
        <f aca="false">S9*Assumptions!$F$15</f>
        <v>20.9333333333333</v>
      </c>
      <c r="T11" s="6" t="n">
        <f aca="false">T9*Assumptions!$F$15</f>
        <v>21.6</v>
      </c>
      <c r="U11" s="6" t="n">
        <f aca="false">U9*Assumptions!$F$15</f>
        <v>22.2666666666667</v>
      </c>
      <c r="V11" s="6" t="n">
        <f aca="false">V9*Assumptions!$F$15</f>
        <v>22.9333333333333</v>
      </c>
      <c r="W11" s="6" t="n">
        <f aca="false">W9*Assumptions!$F$15</f>
        <v>23.6</v>
      </c>
      <c r="X11" s="6" t="n">
        <f aca="false">X9*Assumptions!$F$15</f>
        <v>24.2666666666667</v>
      </c>
      <c r="Y11" s="6" t="n">
        <f aca="false">Y9*Assumptions!$F$15</f>
        <v>24.9333333333333</v>
      </c>
      <c r="Z11" s="6" t="n">
        <f aca="false">Z9*Assumptions!$F$15</f>
        <v>25.6</v>
      </c>
      <c r="AA11" s="6" t="n">
        <f aca="false">AA9*Assumptions!$F$15</f>
        <v>26.1333333333333</v>
      </c>
      <c r="AB11" s="6" t="n">
        <f aca="false">AB9*Assumptions!$F$15</f>
        <v>26.6666666666667</v>
      </c>
      <c r="AC11" s="6" t="n">
        <f aca="false">AC9*Assumptions!$F$15</f>
        <v>27.2</v>
      </c>
      <c r="AD11" s="6" t="n">
        <f aca="false">AD9*Assumptions!$F$15</f>
        <v>27.7333333333333</v>
      </c>
      <c r="AE11" s="6" t="n">
        <f aca="false">AE9*Assumptions!$F$15</f>
        <v>28.2666666666667</v>
      </c>
      <c r="AF11" s="6" t="n">
        <f aca="false">AF9*Assumptions!$F$15</f>
        <v>28.8</v>
      </c>
      <c r="AG11" s="6" t="n">
        <f aca="false">AG9*Assumptions!$F$15</f>
        <v>29.3333333333333</v>
      </c>
      <c r="AH11" s="6" t="n">
        <f aca="false">AH9*Assumptions!$F$15</f>
        <v>29.8666666666667</v>
      </c>
      <c r="AI11" s="6" t="n">
        <f aca="false">AI9*Assumptions!$F$15</f>
        <v>30.4</v>
      </c>
      <c r="AJ11" s="6" t="n">
        <f aca="false">AJ9*Assumptions!$F$15</f>
        <v>30.9333333333333</v>
      </c>
      <c r="AK11" s="6" t="n">
        <f aca="false">AK9*Assumptions!$F$15</f>
        <v>31.4666666666667</v>
      </c>
      <c r="AL11" s="6" t="n">
        <f aca="false">AL9*Assumptions!$F$15</f>
        <v>32</v>
      </c>
    </row>
    <row r="12" customFormat="false" ht="15" hidden="false" customHeight="false" outlineLevel="0" collapsed="false">
      <c r="B12" s="2" t="s">
        <v>252</v>
      </c>
      <c r="C12" s="33" t="n">
        <f aca="false">MAX(0,C9-Assumptions!$F$8)+Assumptions!$F$18*Assumptions!$F$8</f>
        <v>12.5</v>
      </c>
      <c r="D12" s="33" t="n">
        <f aca="false">MAX(0,D9-C9)+Assumptions!$F$18*C9</f>
        <v>12.75</v>
      </c>
      <c r="E12" s="33" t="n">
        <f aca="false">MAX(0,E9-D9)+Assumptions!$F$18*D9</f>
        <v>13</v>
      </c>
      <c r="F12" s="33" t="n">
        <f aca="false">MAX(0,F9-E9)+Assumptions!$F$18*E9</f>
        <v>13.25</v>
      </c>
      <c r="G12" s="33" t="n">
        <f aca="false">MAX(0,G9-F9)+Assumptions!$F$18*F9</f>
        <v>13.5</v>
      </c>
      <c r="H12" s="33" t="n">
        <f aca="false">MAX(0,H9-G9)+Assumptions!$F$18*G9</f>
        <v>13.75</v>
      </c>
      <c r="I12" s="33" t="n">
        <f aca="false">MAX(0,I9-H9)+Assumptions!$F$18*H9</f>
        <v>14</v>
      </c>
      <c r="J12" s="33" t="n">
        <f aca="false">MAX(0,J9-I9)+Assumptions!$F$18*I9</f>
        <v>14.25</v>
      </c>
      <c r="K12" s="33" t="n">
        <f aca="false">MAX(0,K9-J9)+Assumptions!$F$18*J9</f>
        <v>14.5</v>
      </c>
      <c r="L12" s="33" t="n">
        <f aca="false">MAX(0,L9-K9)+Assumptions!$F$18*K9</f>
        <v>14.75</v>
      </c>
      <c r="M12" s="33" t="n">
        <f aca="false">MAX(0,M9-L9)+Assumptions!$F$18*L9</f>
        <v>15</v>
      </c>
      <c r="N12" s="33" t="n">
        <f aca="false">MAX(0,N9-M9)+Assumptions!$F$18*M9</f>
        <v>15.25</v>
      </c>
      <c r="O12" s="33" t="n">
        <f aca="false">MAX(0,O9-N9)+Assumptions!$F$18*N9</f>
        <v>13.8333333333333</v>
      </c>
      <c r="P12" s="33" t="n">
        <f aca="false">MAX(0,P9-O9)+Assumptions!$F$18*O9</f>
        <v>14.0416666666666</v>
      </c>
      <c r="Q12" s="33" t="n">
        <f aca="false">MAX(0,Q9-P9)+Assumptions!$F$18*P9</f>
        <v>14.25</v>
      </c>
      <c r="R12" s="33" t="n">
        <f aca="false">MAX(0,R9-Q9)+Assumptions!$F$18*Q9</f>
        <v>14.4583333333333</v>
      </c>
      <c r="S12" s="33" t="n">
        <f aca="false">MAX(0,S9-R9)+Assumptions!$F$18*R9</f>
        <v>14.6666666666667</v>
      </c>
      <c r="T12" s="33" t="n">
        <f aca="false">MAX(0,T9-S9)+Assumptions!$F$18*S9</f>
        <v>14.875</v>
      </c>
      <c r="U12" s="33" t="n">
        <f aca="false">MAX(0,U9-T9)+Assumptions!$F$18*T9</f>
        <v>15.0833333333333</v>
      </c>
      <c r="V12" s="33" t="n">
        <f aca="false">MAX(0,V9-U9)+Assumptions!$F$18*U9</f>
        <v>15.2916666666667</v>
      </c>
      <c r="W12" s="33" t="n">
        <f aca="false">MAX(0,W9-V9)+Assumptions!$F$18*V9</f>
        <v>15.5</v>
      </c>
      <c r="X12" s="33" t="n">
        <f aca="false">MAX(0,X9-W9)+Assumptions!$F$18*W9</f>
        <v>15.7083333333333</v>
      </c>
      <c r="Y12" s="33" t="n">
        <f aca="false">MAX(0,Y9-X9)+Assumptions!$F$18*X9</f>
        <v>15.9166666666667</v>
      </c>
      <c r="Z12" s="33" t="n">
        <f aca="false">MAX(0,Z9-Y9)+Assumptions!$F$18*Y9</f>
        <v>16.125</v>
      </c>
      <c r="AA12" s="33" t="n">
        <f aca="false">MAX(0,AA9-Z9)+Assumptions!$F$18*Z9</f>
        <v>14.6666666666667</v>
      </c>
      <c r="AB12" s="33" t="n">
        <f aca="false">MAX(0,AB9-AA9)+Assumptions!$F$18*AA9</f>
        <v>14.8333333333333</v>
      </c>
      <c r="AC12" s="33" t="n">
        <f aca="false">MAX(0,AC9-AB9)+Assumptions!$F$18*AB9</f>
        <v>15</v>
      </c>
      <c r="AD12" s="33" t="n">
        <f aca="false">MAX(0,AD9-AC9)+Assumptions!$F$18*AC9</f>
        <v>15.1666666666667</v>
      </c>
      <c r="AE12" s="33" t="n">
        <f aca="false">MAX(0,AE9-AD9)+Assumptions!$F$18*AD9</f>
        <v>15.3333333333333</v>
      </c>
      <c r="AF12" s="33" t="n">
        <f aca="false">MAX(0,AF9-AE9)+Assumptions!$F$18*AE9</f>
        <v>15.5</v>
      </c>
      <c r="AG12" s="33" t="n">
        <f aca="false">MAX(0,AG9-AF9)+Assumptions!$F$18*AF9</f>
        <v>15.6666666666667</v>
      </c>
      <c r="AH12" s="33" t="n">
        <f aca="false">MAX(0,AH9-AG9)+Assumptions!$F$18*AG9</f>
        <v>15.8333333333333</v>
      </c>
      <c r="AI12" s="33" t="n">
        <f aca="false">MAX(0,AI9-AH9)+Assumptions!$F$18*AH9</f>
        <v>16</v>
      </c>
      <c r="AJ12" s="33" t="n">
        <f aca="false">MAX(0,AJ9-AI9)+Assumptions!$F$18*AI9</f>
        <v>16.1666666666667</v>
      </c>
      <c r="AK12" s="33" t="n">
        <f aca="false">MAX(0,AK9-AJ9)+Assumptions!$F$18*AJ9</f>
        <v>16.3333333333333</v>
      </c>
      <c r="AL12" s="33" t="n">
        <f aca="false">MAX(0,AL9-AK9)+Assumptions!$F$18*AK9</f>
        <v>16.5</v>
      </c>
    </row>
    <row r="13" customFormat="false" ht="15" hidden="false" customHeight="false" outlineLevel="0" collapsed="false">
      <c r="B13" s="2" t="s">
        <v>253</v>
      </c>
      <c r="C13" s="6" t="n">
        <f aca="false">ROUNDUP((C9+C10+2*C11)/Assumptions!$F$19,0)</f>
        <v>9</v>
      </c>
      <c r="D13" s="6" t="n">
        <f aca="false">ROUNDUP((D9+D10+2*D11)/Assumptions!$F$19,0)</f>
        <v>10</v>
      </c>
      <c r="E13" s="6" t="n">
        <f aca="false">ROUNDUP((E9+E10+2*E11)/Assumptions!$F$19,0)</f>
        <v>11</v>
      </c>
      <c r="F13" s="6" t="n">
        <f aca="false">ROUNDUP((F9+F10+2*F11)/Assumptions!$F$19,0)</f>
        <v>11</v>
      </c>
      <c r="G13" s="6" t="n">
        <f aca="false">ROUNDUP((G9+G10+2*G11)/Assumptions!$F$19,0)</f>
        <v>12</v>
      </c>
      <c r="H13" s="6" t="n">
        <f aca="false">ROUNDUP((H9+H10+2*H11)/Assumptions!$F$19,0)</f>
        <v>13</v>
      </c>
      <c r="I13" s="6" t="n">
        <f aca="false">ROUNDUP((I9+I10+2*I11)/Assumptions!$F$19,0)</f>
        <v>14</v>
      </c>
      <c r="J13" s="6" t="n">
        <f aca="false">ROUNDUP((J9+J10+2*J11)/Assumptions!$F$19,0)</f>
        <v>15</v>
      </c>
      <c r="K13" s="6" t="n">
        <f aca="false">ROUNDUP((K9+K10+2*K11)/Assumptions!$F$19,0)</f>
        <v>15</v>
      </c>
      <c r="L13" s="6" t="n">
        <f aca="false">ROUNDUP((L9+L10+2*L11)/Assumptions!$F$19,0)</f>
        <v>16</v>
      </c>
      <c r="M13" s="6" t="n">
        <f aca="false">ROUNDUP((M9+M10+2*M11)/Assumptions!$F$19,0)</f>
        <v>17</v>
      </c>
      <c r="N13" s="6" t="n">
        <f aca="false">ROUNDUP((N9+N10+2*N11)/Assumptions!$F$19,0)</f>
        <v>18</v>
      </c>
      <c r="O13" s="6" t="n">
        <f aca="false">ROUNDUP((O9+O10+2*O11)/Assumptions!$F$19,0)</f>
        <v>18</v>
      </c>
      <c r="P13" s="6" t="n">
        <f aca="false">ROUNDUP((P9+P10+2*P11)/Assumptions!$F$19,0)</f>
        <v>19</v>
      </c>
      <c r="Q13" s="6" t="n">
        <f aca="false">ROUNDUP((Q9+Q10+2*Q11)/Assumptions!$F$19,0)</f>
        <v>20</v>
      </c>
      <c r="R13" s="6" t="n">
        <f aca="false">ROUNDUP((R9+R10+2*R11)/Assumptions!$F$19,0)</f>
        <v>20</v>
      </c>
      <c r="S13" s="6" t="n">
        <f aca="false">ROUNDUP((S9+S10+2*S11)/Assumptions!$F$19,0)</f>
        <v>21</v>
      </c>
      <c r="T13" s="6" t="n">
        <f aca="false">ROUNDUP((T9+T10+2*T11)/Assumptions!$F$19,0)</f>
        <v>22</v>
      </c>
      <c r="U13" s="6" t="n">
        <f aca="false">ROUNDUP((U9+U10+2*U11)/Assumptions!$F$19,0)</f>
        <v>22</v>
      </c>
      <c r="V13" s="6" t="n">
        <f aca="false">ROUNDUP((V9+V10+2*V11)/Assumptions!$F$19,0)</f>
        <v>23</v>
      </c>
      <c r="W13" s="6" t="n">
        <f aca="false">ROUNDUP((W9+W10+2*W11)/Assumptions!$F$19,0)</f>
        <v>24</v>
      </c>
      <c r="X13" s="6" t="n">
        <f aca="false">ROUNDUP((X9+X10+2*X11)/Assumptions!$F$19,0)</f>
        <v>24</v>
      </c>
      <c r="Y13" s="6" t="n">
        <f aca="false">ROUNDUP((Y9+Y10+2*Y11)/Assumptions!$F$19,0)</f>
        <v>25</v>
      </c>
      <c r="Z13" s="6" t="n">
        <f aca="false">ROUNDUP((Z9+Z10+2*Z11)/Assumptions!$F$19,0)</f>
        <v>26</v>
      </c>
      <c r="AA13" s="6" t="n">
        <f aca="false">ROUNDUP((AA9+AA10+2*AA11)/Assumptions!$F$19,0)</f>
        <v>26</v>
      </c>
      <c r="AB13" s="6" t="n">
        <f aca="false">ROUNDUP((AB9+AB10+2*AB11)/Assumptions!$F$19,0)</f>
        <v>27</v>
      </c>
      <c r="AC13" s="6" t="n">
        <f aca="false">ROUNDUP((AC9+AC10+2*AC11)/Assumptions!$F$19,0)</f>
        <v>27</v>
      </c>
      <c r="AD13" s="6" t="n">
        <f aca="false">ROUNDUP((AD9+AD10+2*AD11)/Assumptions!$F$19,0)</f>
        <v>28</v>
      </c>
      <c r="AE13" s="6" t="n">
        <f aca="false">ROUNDUP((AE9+AE10+2*AE11)/Assumptions!$F$19,0)</f>
        <v>28</v>
      </c>
      <c r="AF13" s="6" t="n">
        <f aca="false">ROUNDUP((AF9+AF10+2*AF11)/Assumptions!$F$19,0)</f>
        <v>29</v>
      </c>
      <c r="AG13" s="6" t="n">
        <f aca="false">ROUNDUP((AG9+AG10+2*AG11)/Assumptions!$F$19,0)</f>
        <v>29</v>
      </c>
      <c r="AH13" s="6" t="n">
        <f aca="false">ROUNDUP((AH9+AH10+2*AH11)/Assumptions!$F$19,0)</f>
        <v>30</v>
      </c>
      <c r="AI13" s="6" t="n">
        <f aca="false">ROUNDUP((AI9+AI10+2*AI11)/Assumptions!$F$19,0)</f>
        <v>30</v>
      </c>
      <c r="AJ13" s="6" t="n">
        <f aca="false">ROUNDUP((AJ9+AJ10+2*AJ11)/Assumptions!$F$19,0)</f>
        <v>31</v>
      </c>
      <c r="AK13" s="6" t="n">
        <f aca="false">ROUNDUP((AK9+AK10+2*AK11)/Assumptions!$F$19,0)</f>
        <v>31</v>
      </c>
      <c r="AL13" s="6" t="n">
        <f aca="false">ROUNDUP((AL9+AL10+2*AL11)/Assumptions!$F$19,0)</f>
        <v>32</v>
      </c>
    </row>
    <row r="15" customFormat="false" ht="15" hidden="false" customHeight="false" outlineLevel="0" collapsed="false">
      <c r="B15" s="15" t="s">
        <v>254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</row>
    <row r="16" customFormat="false" ht="15" hidden="false" customHeight="false" outlineLevel="0" collapsed="false">
      <c r="B16" s="2" t="s">
        <v>255</v>
      </c>
      <c r="C16" s="8" t="n">
        <f aca="false">C9*Assumptions!$F$12*(1-Assumptions!$F$21)</f>
        <v>3522.75</v>
      </c>
      <c r="D16" s="8" t="n">
        <f aca="false">D9*Assumptions!$F$12*(1-Assumptions!$F$21)</f>
        <v>3843</v>
      </c>
      <c r="E16" s="8" t="n">
        <f aca="false">E9*Assumptions!$F$12*(1-Assumptions!$F$21)</f>
        <v>4163.25</v>
      </c>
      <c r="F16" s="8" t="n">
        <f aca="false">F9*Assumptions!$F$12*(1-Assumptions!$F$21)</f>
        <v>4483.5</v>
      </c>
      <c r="G16" s="8" t="n">
        <f aca="false">G9*Assumptions!$F$12*(1-Assumptions!$F$21)</f>
        <v>4803.75</v>
      </c>
      <c r="H16" s="8" t="n">
        <f aca="false">H9*Assumptions!$F$12*(1-Assumptions!$F$21)</f>
        <v>5124</v>
      </c>
      <c r="I16" s="8" t="n">
        <f aca="false">I9*Assumptions!$F$12*(1-Assumptions!$F$21)</f>
        <v>5444.25</v>
      </c>
      <c r="J16" s="8" t="n">
        <f aca="false">J9*Assumptions!$F$12*(1-Assumptions!$F$21)</f>
        <v>5764.5</v>
      </c>
      <c r="K16" s="8" t="n">
        <f aca="false">K9*Assumptions!$F$12*(1-Assumptions!$F$21)</f>
        <v>6084.75</v>
      </c>
      <c r="L16" s="8" t="n">
        <f aca="false">L9*Assumptions!$F$12*(1-Assumptions!$F$21)</f>
        <v>6405</v>
      </c>
      <c r="M16" s="8" t="n">
        <f aca="false">M9*Assumptions!$F$12*(1-Assumptions!$F$21)</f>
        <v>6725.25</v>
      </c>
      <c r="N16" s="8" t="n">
        <f aca="false">N9*Assumptions!$F$12*(1-Assumptions!$F$21)</f>
        <v>7045.5</v>
      </c>
      <c r="O16" s="8" t="n">
        <f aca="false">O9*Assumptions!$F$12*(1-Assumptions!$F$21)</f>
        <v>7312.375</v>
      </c>
      <c r="P16" s="8" t="n">
        <f aca="false">P9*Assumptions!$F$12*(1-Assumptions!$F$21)</f>
        <v>7579.25</v>
      </c>
      <c r="Q16" s="8" t="n">
        <f aca="false">Q9*Assumptions!$F$12*(1-Assumptions!$F$21)</f>
        <v>7846.125</v>
      </c>
      <c r="R16" s="8" t="n">
        <f aca="false">R9*Assumptions!$F$12*(1-Assumptions!$F$21)</f>
        <v>8113</v>
      </c>
      <c r="S16" s="8" t="n">
        <f aca="false">S9*Assumptions!$F$12*(1-Assumptions!$F$21)</f>
        <v>8379.875</v>
      </c>
      <c r="T16" s="8" t="n">
        <f aca="false">T9*Assumptions!$F$12*(1-Assumptions!$F$21)</f>
        <v>8646.75</v>
      </c>
      <c r="U16" s="8" t="n">
        <f aca="false">U9*Assumptions!$F$12*(1-Assumptions!$F$21)</f>
        <v>8913.625</v>
      </c>
      <c r="V16" s="8" t="n">
        <f aca="false">V9*Assumptions!$F$12*(1-Assumptions!$F$21)</f>
        <v>9180.5</v>
      </c>
      <c r="W16" s="8" t="n">
        <f aca="false">W9*Assumptions!$F$12*(1-Assumptions!$F$21)</f>
        <v>9447.375</v>
      </c>
      <c r="X16" s="8" t="n">
        <f aca="false">X9*Assumptions!$F$12*(1-Assumptions!$F$21)</f>
        <v>9714.25</v>
      </c>
      <c r="Y16" s="8" t="n">
        <f aca="false">Y9*Assumptions!$F$12*(1-Assumptions!$F$21)</f>
        <v>9981.125</v>
      </c>
      <c r="Z16" s="8" t="n">
        <f aca="false">Z9*Assumptions!$F$12*(1-Assumptions!$F$21)</f>
        <v>10248</v>
      </c>
      <c r="AA16" s="8" t="n">
        <f aca="false">AA9*Assumptions!$F$12*(1-Assumptions!$F$21)</f>
        <v>10461.5</v>
      </c>
      <c r="AB16" s="8" t="n">
        <f aca="false">AB9*Assumptions!$F$12*(1-Assumptions!$F$21)</f>
        <v>10675</v>
      </c>
      <c r="AC16" s="8" t="n">
        <f aca="false">AC9*Assumptions!$F$12*(1-Assumptions!$F$21)</f>
        <v>10888.5</v>
      </c>
      <c r="AD16" s="8" t="n">
        <f aca="false">AD9*Assumptions!$F$12*(1-Assumptions!$F$21)</f>
        <v>11102</v>
      </c>
      <c r="AE16" s="8" t="n">
        <f aca="false">AE9*Assumptions!$F$12*(1-Assumptions!$F$21)</f>
        <v>11315.5</v>
      </c>
      <c r="AF16" s="8" t="n">
        <f aca="false">AF9*Assumptions!$F$12*(1-Assumptions!$F$21)</f>
        <v>11529</v>
      </c>
      <c r="AG16" s="8" t="n">
        <f aca="false">AG9*Assumptions!$F$12*(1-Assumptions!$F$21)</f>
        <v>11742.5</v>
      </c>
      <c r="AH16" s="8" t="n">
        <f aca="false">AH9*Assumptions!$F$12*(1-Assumptions!$F$21)</f>
        <v>11956</v>
      </c>
      <c r="AI16" s="8" t="n">
        <f aca="false">AI9*Assumptions!$F$12*(1-Assumptions!$F$21)</f>
        <v>12169.5</v>
      </c>
      <c r="AJ16" s="8" t="n">
        <f aca="false">AJ9*Assumptions!$F$12*(1-Assumptions!$F$21)</f>
        <v>12383</v>
      </c>
      <c r="AK16" s="8" t="n">
        <f aca="false">AK9*Assumptions!$F$12*(1-Assumptions!$F$21)</f>
        <v>12596.5</v>
      </c>
      <c r="AL16" s="8" t="n">
        <f aca="false">AL9*Assumptions!$F$12*(1-Assumptions!$F$21)</f>
        <v>12810</v>
      </c>
    </row>
    <row r="17" customFormat="false" ht="15" hidden="false" customHeight="false" outlineLevel="0" collapsed="false">
      <c r="B17" s="2" t="s">
        <v>256</v>
      </c>
      <c r="C17" s="8" t="n">
        <f aca="false">C10*Assumptions!$F$14*(1-Assumptions!$F$21)</f>
        <v>629.0625</v>
      </c>
      <c r="D17" s="8" t="n">
        <f aca="false">D10*Assumptions!$F$14*(1-Assumptions!$F$21)</f>
        <v>686.25</v>
      </c>
      <c r="E17" s="8" t="n">
        <f aca="false">E10*Assumptions!$F$14*(1-Assumptions!$F$21)</f>
        <v>743.4375</v>
      </c>
      <c r="F17" s="8" t="n">
        <f aca="false">F10*Assumptions!$F$14*(1-Assumptions!$F$21)</f>
        <v>800.625</v>
      </c>
      <c r="G17" s="8" t="n">
        <f aca="false">G10*Assumptions!$F$14*(1-Assumptions!$F$21)</f>
        <v>857.8125</v>
      </c>
      <c r="H17" s="8" t="n">
        <f aca="false">H10*Assumptions!$F$14*(1-Assumptions!$F$21)</f>
        <v>915</v>
      </c>
      <c r="I17" s="8" t="n">
        <f aca="false">I10*Assumptions!$F$14*(1-Assumptions!$F$21)</f>
        <v>972.1875</v>
      </c>
      <c r="J17" s="8" t="n">
        <f aca="false">J10*Assumptions!$F$14*(1-Assumptions!$F$21)</f>
        <v>1029.375</v>
      </c>
      <c r="K17" s="8" t="n">
        <f aca="false">K10*Assumptions!$F$14*(1-Assumptions!$F$21)</f>
        <v>1086.5625</v>
      </c>
      <c r="L17" s="8" t="n">
        <f aca="false">L10*Assumptions!$F$14*(1-Assumptions!$F$21)</f>
        <v>1143.75</v>
      </c>
      <c r="M17" s="8" t="n">
        <f aca="false">M10*Assumptions!$F$14*(1-Assumptions!$F$21)</f>
        <v>1200.9375</v>
      </c>
      <c r="N17" s="8" t="n">
        <f aca="false">N10*Assumptions!$F$14*(1-Assumptions!$F$21)</f>
        <v>1258.125</v>
      </c>
      <c r="O17" s="8" t="n">
        <f aca="false">O10*Assumptions!$F$14*(1-Assumptions!$F$21)</f>
        <v>1305.78125</v>
      </c>
      <c r="P17" s="8" t="n">
        <f aca="false">P10*Assumptions!$F$14*(1-Assumptions!$F$21)</f>
        <v>1353.4375</v>
      </c>
      <c r="Q17" s="8" t="n">
        <f aca="false">Q10*Assumptions!$F$14*(1-Assumptions!$F$21)</f>
        <v>1401.09375</v>
      </c>
      <c r="R17" s="8" t="n">
        <f aca="false">R10*Assumptions!$F$14*(1-Assumptions!$F$21)</f>
        <v>1448.75</v>
      </c>
      <c r="S17" s="8" t="n">
        <f aca="false">S10*Assumptions!$F$14*(1-Assumptions!$F$21)</f>
        <v>1496.40625</v>
      </c>
      <c r="T17" s="8" t="n">
        <f aca="false">T10*Assumptions!$F$14*(1-Assumptions!$F$21)</f>
        <v>1544.0625</v>
      </c>
      <c r="U17" s="8" t="n">
        <f aca="false">U10*Assumptions!$F$14*(1-Assumptions!$F$21)</f>
        <v>1591.71875</v>
      </c>
      <c r="V17" s="8" t="n">
        <f aca="false">V10*Assumptions!$F$14*(1-Assumptions!$F$21)</f>
        <v>1639.375</v>
      </c>
      <c r="W17" s="8" t="n">
        <f aca="false">W10*Assumptions!$F$14*(1-Assumptions!$F$21)</f>
        <v>1687.03125</v>
      </c>
      <c r="X17" s="8" t="n">
        <f aca="false">X10*Assumptions!$F$14*(1-Assumptions!$F$21)</f>
        <v>1734.6875</v>
      </c>
      <c r="Y17" s="8" t="n">
        <f aca="false">Y10*Assumptions!$F$14*(1-Assumptions!$F$21)</f>
        <v>1782.34375</v>
      </c>
      <c r="Z17" s="8" t="n">
        <f aca="false">Z10*Assumptions!$F$14*(1-Assumptions!$F$21)</f>
        <v>1830</v>
      </c>
      <c r="AA17" s="8" t="n">
        <f aca="false">AA10*Assumptions!$F$14*(1-Assumptions!$F$21)</f>
        <v>1868.125</v>
      </c>
      <c r="AB17" s="8" t="n">
        <f aca="false">AB10*Assumptions!$F$14*(1-Assumptions!$F$21)</f>
        <v>1906.25</v>
      </c>
      <c r="AC17" s="8" t="n">
        <f aca="false">AC10*Assumptions!$F$14*(1-Assumptions!$F$21)</f>
        <v>1944.375</v>
      </c>
      <c r="AD17" s="8" t="n">
        <f aca="false">AD10*Assumptions!$F$14*(1-Assumptions!$F$21)</f>
        <v>1982.5</v>
      </c>
      <c r="AE17" s="8" t="n">
        <f aca="false">AE10*Assumptions!$F$14*(1-Assumptions!$F$21)</f>
        <v>2020.625</v>
      </c>
      <c r="AF17" s="8" t="n">
        <f aca="false">AF10*Assumptions!$F$14*(1-Assumptions!$F$21)</f>
        <v>2058.75</v>
      </c>
      <c r="AG17" s="8" t="n">
        <f aca="false">AG10*Assumptions!$F$14*(1-Assumptions!$F$21)</f>
        <v>2096.875</v>
      </c>
      <c r="AH17" s="8" t="n">
        <f aca="false">AH10*Assumptions!$F$14*(1-Assumptions!$F$21)</f>
        <v>2135</v>
      </c>
      <c r="AI17" s="8" t="n">
        <f aca="false">AI10*Assumptions!$F$14*(1-Assumptions!$F$21)</f>
        <v>2173.125</v>
      </c>
      <c r="AJ17" s="8" t="n">
        <f aca="false">AJ10*Assumptions!$F$14*(1-Assumptions!$F$21)</f>
        <v>2211.25</v>
      </c>
      <c r="AK17" s="8" t="n">
        <f aca="false">AK10*Assumptions!$F$14*(1-Assumptions!$F$21)</f>
        <v>2249.375</v>
      </c>
      <c r="AL17" s="8" t="n">
        <f aca="false">AL10*Assumptions!$F$14*(1-Assumptions!$F$21)</f>
        <v>2287.5</v>
      </c>
    </row>
    <row r="18" customFormat="false" ht="15" hidden="false" customHeight="false" outlineLevel="0" collapsed="false">
      <c r="B18" s="2" t="s">
        <v>257</v>
      </c>
      <c r="C18" s="8" t="n">
        <f aca="false">C11*Assumptions!$F$16*(1-Assumptions!$F$21)</f>
        <v>322.08</v>
      </c>
      <c r="D18" s="8" t="n">
        <f aca="false">D11*Assumptions!$F$16*(1-Assumptions!$F$21)</f>
        <v>351.36</v>
      </c>
      <c r="E18" s="8" t="n">
        <f aca="false">E11*Assumptions!$F$16*(1-Assumptions!$F$21)</f>
        <v>380.64</v>
      </c>
      <c r="F18" s="8" t="n">
        <f aca="false">F11*Assumptions!$F$16*(1-Assumptions!$F$21)</f>
        <v>409.92</v>
      </c>
      <c r="G18" s="8" t="n">
        <f aca="false">G11*Assumptions!$F$16*(1-Assumptions!$F$21)</f>
        <v>439.2</v>
      </c>
      <c r="H18" s="8" t="n">
        <f aca="false">H11*Assumptions!$F$16*(1-Assumptions!$F$21)</f>
        <v>468.48</v>
      </c>
      <c r="I18" s="8" t="n">
        <f aca="false">I11*Assumptions!$F$16*(1-Assumptions!$F$21)</f>
        <v>497.76</v>
      </c>
      <c r="J18" s="8" t="n">
        <f aca="false">J11*Assumptions!$F$16*(1-Assumptions!$F$21)</f>
        <v>527.04</v>
      </c>
      <c r="K18" s="8" t="n">
        <f aca="false">K11*Assumptions!$F$16*(1-Assumptions!$F$21)</f>
        <v>556.32</v>
      </c>
      <c r="L18" s="8" t="n">
        <f aca="false">L11*Assumptions!$F$16*(1-Assumptions!$F$21)</f>
        <v>585.6</v>
      </c>
      <c r="M18" s="8" t="n">
        <f aca="false">M11*Assumptions!$F$16*(1-Assumptions!$F$21)</f>
        <v>614.88</v>
      </c>
      <c r="N18" s="8" t="n">
        <f aca="false">N11*Assumptions!$F$16*(1-Assumptions!$F$21)</f>
        <v>644.16</v>
      </c>
      <c r="O18" s="8" t="n">
        <f aca="false">O11*Assumptions!$F$16*(1-Assumptions!$F$21)</f>
        <v>668.56</v>
      </c>
      <c r="P18" s="8" t="n">
        <f aca="false">P11*Assumptions!$F$16*(1-Assumptions!$F$21)</f>
        <v>692.96</v>
      </c>
      <c r="Q18" s="8" t="n">
        <f aca="false">Q11*Assumptions!$F$16*(1-Assumptions!$F$21)</f>
        <v>717.36</v>
      </c>
      <c r="R18" s="8" t="n">
        <f aca="false">R11*Assumptions!$F$16*(1-Assumptions!$F$21)</f>
        <v>741.76</v>
      </c>
      <c r="S18" s="8" t="n">
        <f aca="false">S11*Assumptions!$F$16*(1-Assumptions!$F$21)</f>
        <v>766.16</v>
      </c>
      <c r="T18" s="8" t="n">
        <f aca="false">T11*Assumptions!$F$16*(1-Assumptions!$F$21)</f>
        <v>790.56</v>
      </c>
      <c r="U18" s="8" t="n">
        <f aca="false">U11*Assumptions!$F$16*(1-Assumptions!$F$21)</f>
        <v>814.96</v>
      </c>
      <c r="V18" s="8" t="n">
        <f aca="false">V11*Assumptions!$F$16*(1-Assumptions!$F$21)</f>
        <v>839.36</v>
      </c>
      <c r="W18" s="8" t="n">
        <f aca="false">W11*Assumptions!$F$16*(1-Assumptions!$F$21)</f>
        <v>863.76</v>
      </c>
      <c r="X18" s="8" t="n">
        <f aca="false">X11*Assumptions!$F$16*(1-Assumptions!$F$21)</f>
        <v>888.16</v>
      </c>
      <c r="Y18" s="8" t="n">
        <f aca="false">Y11*Assumptions!$F$16*(1-Assumptions!$F$21)</f>
        <v>912.56</v>
      </c>
      <c r="Z18" s="8" t="n">
        <f aca="false">Z11*Assumptions!$F$16*(1-Assumptions!$F$21)</f>
        <v>936.96</v>
      </c>
      <c r="AA18" s="8" t="n">
        <f aca="false">AA11*Assumptions!$F$16*(1-Assumptions!$F$21)</f>
        <v>956.48</v>
      </c>
      <c r="AB18" s="8" t="n">
        <f aca="false">AB11*Assumptions!$F$16*(1-Assumptions!$F$21)</f>
        <v>976</v>
      </c>
      <c r="AC18" s="8" t="n">
        <f aca="false">AC11*Assumptions!$F$16*(1-Assumptions!$F$21)</f>
        <v>995.52</v>
      </c>
      <c r="AD18" s="8" t="n">
        <f aca="false">AD11*Assumptions!$F$16*(1-Assumptions!$F$21)</f>
        <v>1015.04</v>
      </c>
      <c r="AE18" s="8" t="n">
        <f aca="false">AE11*Assumptions!$F$16*(1-Assumptions!$F$21)</f>
        <v>1034.56</v>
      </c>
      <c r="AF18" s="8" t="n">
        <f aca="false">AF11*Assumptions!$F$16*(1-Assumptions!$F$21)</f>
        <v>1054.08</v>
      </c>
      <c r="AG18" s="8" t="n">
        <f aca="false">AG11*Assumptions!$F$16*(1-Assumptions!$F$21)</f>
        <v>1073.6</v>
      </c>
      <c r="AH18" s="8" t="n">
        <f aca="false">AH11*Assumptions!$F$16*(1-Assumptions!$F$21)</f>
        <v>1093.12</v>
      </c>
      <c r="AI18" s="8" t="n">
        <f aca="false">AI11*Assumptions!$F$16*(1-Assumptions!$F$21)</f>
        <v>1112.64</v>
      </c>
      <c r="AJ18" s="8" t="n">
        <f aca="false">AJ11*Assumptions!$F$16*(1-Assumptions!$F$21)</f>
        <v>1132.16</v>
      </c>
      <c r="AK18" s="8" t="n">
        <f aca="false">AK11*Assumptions!$F$16*(1-Assumptions!$F$21)</f>
        <v>1151.68</v>
      </c>
      <c r="AL18" s="8" t="n">
        <f aca="false">AL11*Assumptions!$F$16*(1-Assumptions!$F$21)</f>
        <v>1171.2</v>
      </c>
    </row>
    <row r="19" customFormat="false" ht="15" hidden="false" customHeight="false" outlineLevel="0" collapsed="false">
      <c r="B19" s="2" t="s">
        <v>258</v>
      </c>
      <c r="C19" s="8" t="n">
        <f aca="false">C12*Assumptions!$F$17*(1-Assumptions!$F$21)</f>
        <v>514.6875</v>
      </c>
      <c r="D19" s="8" t="n">
        <f aca="false">D12*Assumptions!$F$17*(1-Assumptions!$F$21)</f>
        <v>524.98125</v>
      </c>
      <c r="E19" s="8" t="n">
        <f aca="false">E12*Assumptions!$F$17*(1-Assumptions!$F$21)</f>
        <v>535.275</v>
      </c>
      <c r="F19" s="8" t="n">
        <f aca="false">F12*Assumptions!$F$17*(1-Assumptions!$F$21)</f>
        <v>545.56875</v>
      </c>
      <c r="G19" s="8" t="n">
        <f aca="false">G12*Assumptions!$F$17*(1-Assumptions!$F$21)</f>
        <v>555.8625</v>
      </c>
      <c r="H19" s="8" t="n">
        <f aca="false">H12*Assumptions!$F$17*(1-Assumptions!$F$21)</f>
        <v>566.15625</v>
      </c>
      <c r="I19" s="8" t="n">
        <f aca="false">I12*Assumptions!$F$17*(1-Assumptions!$F$21)</f>
        <v>576.45</v>
      </c>
      <c r="J19" s="8" t="n">
        <f aca="false">J12*Assumptions!$F$17*(1-Assumptions!$F$21)</f>
        <v>586.74375</v>
      </c>
      <c r="K19" s="8" t="n">
        <f aca="false">K12*Assumptions!$F$17*(1-Assumptions!$F$21)</f>
        <v>597.0375</v>
      </c>
      <c r="L19" s="8" t="n">
        <f aca="false">L12*Assumptions!$F$17*(1-Assumptions!$F$21)</f>
        <v>607.33125</v>
      </c>
      <c r="M19" s="8" t="n">
        <f aca="false">M12*Assumptions!$F$17*(1-Assumptions!$F$21)</f>
        <v>617.625</v>
      </c>
      <c r="N19" s="8" t="n">
        <f aca="false">N12*Assumptions!$F$17*(1-Assumptions!$F$21)</f>
        <v>627.91875</v>
      </c>
      <c r="O19" s="8" t="n">
        <f aca="false">O12*Assumptions!$F$17*(1-Assumptions!$F$21)</f>
        <v>569.5875</v>
      </c>
      <c r="P19" s="8" t="n">
        <f aca="false">P12*Assumptions!$F$17*(1-Assumptions!$F$21)</f>
        <v>578.165624999999</v>
      </c>
      <c r="Q19" s="8" t="n">
        <f aca="false">Q12*Assumptions!$F$17*(1-Assumptions!$F$21)</f>
        <v>586.74375</v>
      </c>
      <c r="R19" s="8" t="n">
        <f aca="false">R12*Assumptions!$F$17*(1-Assumptions!$F$21)</f>
        <v>595.321875</v>
      </c>
      <c r="S19" s="8" t="n">
        <f aca="false">S12*Assumptions!$F$17*(1-Assumptions!$F$21)</f>
        <v>603.9</v>
      </c>
      <c r="T19" s="8" t="n">
        <f aca="false">T12*Assumptions!$F$17*(1-Assumptions!$F$21)</f>
        <v>612.478124999999</v>
      </c>
      <c r="U19" s="8" t="n">
        <f aca="false">U12*Assumptions!$F$17*(1-Assumptions!$F$21)</f>
        <v>621.056249999999</v>
      </c>
      <c r="V19" s="8" t="n">
        <f aca="false">V12*Assumptions!$F$17*(1-Assumptions!$F$21)</f>
        <v>629.634375000002</v>
      </c>
      <c r="W19" s="8" t="n">
        <f aca="false">W12*Assumptions!$F$17*(1-Assumptions!$F$21)</f>
        <v>638.212499999999</v>
      </c>
      <c r="X19" s="8" t="n">
        <f aca="false">X12*Assumptions!$F$17*(1-Assumptions!$F$21)</f>
        <v>646.790624999999</v>
      </c>
      <c r="Y19" s="8" t="n">
        <f aca="false">Y12*Assumptions!$F$17*(1-Assumptions!$F$21)</f>
        <v>655.368750000002</v>
      </c>
      <c r="Z19" s="8" t="n">
        <f aca="false">Z12*Assumptions!$F$17*(1-Assumptions!$F$21)</f>
        <v>663.946874999999</v>
      </c>
      <c r="AA19" s="8" t="n">
        <f aca="false">AA12*Assumptions!$F$17*(1-Assumptions!$F$21)</f>
        <v>603.900000000001</v>
      </c>
      <c r="AB19" s="8" t="n">
        <f aca="false">AB12*Assumptions!$F$17*(1-Assumptions!$F$21)</f>
        <v>610.762499999999</v>
      </c>
      <c r="AC19" s="8" t="n">
        <f aca="false">AC12*Assumptions!$F$17*(1-Assumptions!$F$21)</f>
        <v>617.625000000001</v>
      </c>
      <c r="AD19" s="8" t="n">
        <f aca="false">AD12*Assumptions!$F$17*(1-Assumptions!$F$21)</f>
        <v>624.487500000001</v>
      </c>
      <c r="AE19" s="8" t="n">
        <f aca="false">AE12*Assumptions!$F$17*(1-Assumptions!$F$21)</f>
        <v>631.349999999998</v>
      </c>
      <c r="AF19" s="8" t="n">
        <f aca="false">AF12*Assumptions!$F$17*(1-Assumptions!$F$21)</f>
        <v>638.212500000001</v>
      </c>
      <c r="AG19" s="8" t="n">
        <f aca="false">AG12*Assumptions!$F$17*(1-Assumptions!$F$21)</f>
        <v>645.075000000001</v>
      </c>
      <c r="AH19" s="8" t="n">
        <f aca="false">AH12*Assumptions!$F$17*(1-Assumptions!$F$21)</f>
        <v>651.937499999998</v>
      </c>
      <c r="AI19" s="8" t="n">
        <f aca="false">AI12*Assumptions!$F$17*(1-Assumptions!$F$21)</f>
        <v>658.800000000001</v>
      </c>
      <c r="AJ19" s="8" t="n">
        <f aca="false">AJ12*Assumptions!$F$17*(1-Assumptions!$F$21)</f>
        <v>665.662500000001</v>
      </c>
      <c r="AK19" s="8" t="n">
        <f aca="false">AK12*Assumptions!$F$17*(1-Assumptions!$F$21)</f>
        <v>672.524999999999</v>
      </c>
      <c r="AL19" s="8" t="n">
        <f aca="false">AL12*Assumptions!$F$17*(1-Assumptions!$F$21)</f>
        <v>679.387500000001</v>
      </c>
    </row>
    <row r="20" customFormat="false" ht="15" hidden="false" customHeight="false" outlineLevel="0" collapsed="false">
      <c r="B20" s="2" t="s">
        <v>111</v>
      </c>
      <c r="C20" s="8" t="n">
        <f aca="false">CHOOSE(C$5,Assumptions!$F$32,Assumptions!$F$33,Assumptions!$F$34)*52/12*Assumptions!$F$31*(1-Assumptions!$F$21)</f>
        <v>1338.1875</v>
      </c>
      <c r="D20" s="8" t="n">
        <f aca="false">CHOOSE(D$5,Assumptions!$F$32,Assumptions!$F$33,Assumptions!$F$34)*52/12*Assumptions!$F$31*(1-Assumptions!$F$21)</f>
        <v>1338.1875</v>
      </c>
      <c r="E20" s="8" t="n">
        <f aca="false">CHOOSE(E$5,Assumptions!$F$32,Assumptions!$F$33,Assumptions!$F$34)*52/12*Assumptions!$F$31*(1-Assumptions!$F$21)</f>
        <v>1338.1875</v>
      </c>
      <c r="F20" s="8" t="n">
        <f aca="false">CHOOSE(F$5,Assumptions!$F$32,Assumptions!$F$33,Assumptions!$F$34)*52/12*Assumptions!$F$31*(1-Assumptions!$F$21)</f>
        <v>1338.1875</v>
      </c>
      <c r="G20" s="8" t="n">
        <f aca="false">CHOOSE(G$5,Assumptions!$F$32,Assumptions!$F$33,Assumptions!$F$34)*52/12*Assumptions!$F$31*(1-Assumptions!$F$21)</f>
        <v>1338.1875</v>
      </c>
      <c r="H20" s="8" t="n">
        <f aca="false">CHOOSE(H$5,Assumptions!$F$32,Assumptions!$F$33,Assumptions!$F$34)*52/12*Assumptions!$F$31*(1-Assumptions!$F$21)</f>
        <v>1338.1875</v>
      </c>
      <c r="I20" s="8" t="n">
        <f aca="false">CHOOSE(I$5,Assumptions!$F$32,Assumptions!$F$33,Assumptions!$F$34)*52/12*Assumptions!$F$31*(1-Assumptions!$F$21)</f>
        <v>1338.1875</v>
      </c>
      <c r="J20" s="8" t="n">
        <f aca="false">CHOOSE(J$5,Assumptions!$F$32,Assumptions!$F$33,Assumptions!$F$34)*52/12*Assumptions!$F$31*(1-Assumptions!$F$21)</f>
        <v>1338.1875</v>
      </c>
      <c r="K20" s="8" t="n">
        <f aca="false">CHOOSE(K$5,Assumptions!$F$32,Assumptions!$F$33,Assumptions!$F$34)*52/12*Assumptions!$F$31*(1-Assumptions!$F$21)</f>
        <v>1338.1875</v>
      </c>
      <c r="L20" s="8" t="n">
        <f aca="false">CHOOSE(L$5,Assumptions!$F$32,Assumptions!$F$33,Assumptions!$F$34)*52/12*Assumptions!$F$31*(1-Assumptions!$F$21)</f>
        <v>1338.1875</v>
      </c>
      <c r="M20" s="8" t="n">
        <f aca="false">CHOOSE(M$5,Assumptions!$F$32,Assumptions!$F$33,Assumptions!$F$34)*52/12*Assumptions!$F$31*(1-Assumptions!$F$21)</f>
        <v>1338.1875</v>
      </c>
      <c r="N20" s="8" t="n">
        <f aca="false">CHOOSE(N$5,Assumptions!$F$32,Assumptions!$F$33,Assumptions!$F$34)*52/12*Assumptions!$F$31*(1-Assumptions!$F$21)</f>
        <v>1338.1875</v>
      </c>
      <c r="O20" s="8" t="n">
        <f aca="false">CHOOSE(O$5,Assumptions!$F$32,Assumptions!$F$33,Assumptions!$F$34)*52/12*Assumptions!$F$31*(1-Assumptions!$F$21)</f>
        <v>2230.3125</v>
      </c>
      <c r="P20" s="8" t="n">
        <f aca="false">CHOOSE(P$5,Assumptions!$F$32,Assumptions!$F$33,Assumptions!$F$34)*52/12*Assumptions!$F$31*(1-Assumptions!$F$21)</f>
        <v>2230.3125</v>
      </c>
      <c r="Q20" s="8" t="n">
        <f aca="false">CHOOSE(Q$5,Assumptions!$F$32,Assumptions!$F$33,Assumptions!$F$34)*52/12*Assumptions!$F$31*(1-Assumptions!$F$21)</f>
        <v>2230.3125</v>
      </c>
      <c r="R20" s="8" t="n">
        <f aca="false">CHOOSE(R$5,Assumptions!$F$32,Assumptions!$F$33,Assumptions!$F$34)*52/12*Assumptions!$F$31*(1-Assumptions!$F$21)</f>
        <v>2230.3125</v>
      </c>
      <c r="S20" s="8" t="n">
        <f aca="false">CHOOSE(S$5,Assumptions!$F$32,Assumptions!$F$33,Assumptions!$F$34)*52/12*Assumptions!$F$31*(1-Assumptions!$F$21)</f>
        <v>2230.3125</v>
      </c>
      <c r="T20" s="8" t="n">
        <f aca="false">CHOOSE(T$5,Assumptions!$F$32,Assumptions!$F$33,Assumptions!$F$34)*52/12*Assumptions!$F$31*(1-Assumptions!$F$21)</f>
        <v>2230.3125</v>
      </c>
      <c r="U20" s="8" t="n">
        <f aca="false">CHOOSE(U$5,Assumptions!$F$32,Assumptions!$F$33,Assumptions!$F$34)*52/12*Assumptions!$F$31*(1-Assumptions!$F$21)</f>
        <v>2230.3125</v>
      </c>
      <c r="V20" s="8" t="n">
        <f aca="false">CHOOSE(V$5,Assumptions!$F$32,Assumptions!$F$33,Assumptions!$F$34)*52/12*Assumptions!$F$31*(1-Assumptions!$F$21)</f>
        <v>2230.3125</v>
      </c>
      <c r="W20" s="8" t="n">
        <f aca="false">CHOOSE(W$5,Assumptions!$F$32,Assumptions!$F$33,Assumptions!$F$34)*52/12*Assumptions!$F$31*(1-Assumptions!$F$21)</f>
        <v>2230.3125</v>
      </c>
      <c r="X20" s="8" t="n">
        <f aca="false">CHOOSE(X$5,Assumptions!$F$32,Assumptions!$F$33,Assumptions!$F$34)*52/12*Assumptions!$F$31*(1-Assumptions!$F$21)</f>
        <v>2230.3125</v>
      </c>
      <c r="Y20" s="8" t="n">
        <f aca="false">CHOOSE(Y$5,Assumptions!$F$32,Assumptions!$F$33,Assumptions!$F$34)*52/12*Assumptions!$F$31*(1-Assumptions!$F$21)</f>
        <v>2230.3125</v>
      </c>
      <c r="Z20" s="8" t="n">
        <f aca="false">CHOOSE(Z$5,Assumptions!$F$32,Assumptions!$F$33,Assumptions!$F$34)*52/12*Assumptions!$F$31*(1-Assumptions!$F$21)</f>
        <v>2230.3125</v>
      </c>
      <c r="AA20" s="8" t="n">
        <f aca="false">CHOOSE(AA$5,Assumptions!$F$32,Assumptions!$F$33,Assumptions!$F$34)*52/12*Assumptions!$F$31*(1-Assumptions!$F$21)</f>
        <v>3122.4375</v>
      </c>
      <c r="AB20" s="8" t="n">
        <f aca="false">CHOOSE(AB$5,Assumptions!$F$32,Assumptions!$F$33,Assumptions!$F$34)*52/12*Assumptions!$F$31*(1-Assumptions!$F$21)</f>
        <v>3122.4375</v>
      </c>
      <c r="AC20" s="8" t="n">
        <f aca="false">CHOOSE(AC$5,Assumptions!$F$32,Assumptions!$F$33,Assumptions!$F$34)*52/12*Assumptions!$F$31*(1-Assumptions!$F$21)</f>
        <v>3122.4375</v>
      </c>
      <c r="AD20" s="8" t="n">
        <f aca="false">CHOOSE(AD$5,Assumptions!$F$32,Assumptions!$F$33,Assumptions!$F$34)*52/12*Assumptions!$F$31*(1-Assumptions!$F$21)</f>
        <v>3122.4375</v>
      </c>
      <c r="AE20" s="8" t="n">
        <f aca="false">CHOOSE(AE$5,Assumptions!$F$32,Assumptions!$F$33,Assumptions!$F$34)*52/12*Assumptions!$F$31*(1-Assumptions!$F$21)</f>
        <v>3122.4375</v>
      </c>
      <c r="AF20" s="8" t="n">
        <f aca="false">CHOOSE(AF$5,Assumptions!$F$32,Assumptions!$F$33,Assumptions!$F$34)*52/12*Assumptions!$F$31*(1-Assumptions!$F$21)</f>
        <v>3122.4375</v>
      </c>
      <c r="AG20" s="8" t="n">
        <f aca="false">CHOOSE(AG$5,Assumptions!$F$32,Assumptions!$F$33,Assumptions!$F$34)*52/12*Assumptions!$F$31*(1-Assumptions!$F$21)</f>
        <v>3122.4375</v>
      </c>
      <c r="AH20" s="8" t="n">
        <f aca="false">CHOOSE(AH$5,Assumptions!$F$32,Assumptions!$F$33,Assumptions!$F$34)*52/12*Assumptions!$F$31*(1-Assumptions!$F$21)</f>
        <v>3122.4375</v>
      </c>
      <c r="AI20" s="8" t="n">
        <f aca="false">CHOOSE(AI$5,Assumptions!$F$32,Assumptions!$F$33,Assumptions!$F$34)*52/12*Assumptions!$F$31*(1-Assumptions!$F$21)</f>
        <v>3122.4375</v>
      </c>
      <c r="AJ20" s="8" t="n">
        <f aca="false">CHOOSE(AJ$5,Assumptions!$F$32,Assumptions!$F$33,Assumptions!$F$34)*52/12*Assumptions!$F$31*(1-Assumptions!$F$21)</f>
        <v>3122.4375</v>
      </c>
      <c r="AK20" s="8" t="n">
        <f aca="false">CHOOSE(AK$5,Assumptions!$F$32,Assumptions!$F$33,Assumptions!$F$34)*52/12*Assumptions!$F$31*(1-Assumptions!$F$21)</f>
        <v>3122.4375</v>
      </c>
      <c r="AL20" s="8" t="n">
        <f aca="false">CHOOSE(AL$5,Assumptions!$F$32,Assumptions!$F$33,Assumptions!$F$34)*52/12*Assumptions!$F$31*(1-Assumptions!$F$21)</f>
        <v>3122.4375</v>
      </c>
    </row>
    <row r="21" customFormat="false" ht="15" hidden="false" customHeight="false" outlineLevel="0" collapsed="false">
      <c r="B21" s="2" t="s">
        <v>259</v>
      </c>
      <c r="C21" s="8" t="n">
        <f aca="false">CHOOSE(C$5,Assumptions!$F$39,Assumptions!$F$40,Assumptions!$F$41)/12*Assumptions!$F$42*Assumptions!$F$43*(1-Assumptions!$F$21)</f>
        <v>366</v>
      </c>
      <c r="D21" s="8" t="n">
        <f aca="false">CHOOSE(D$5,Assumptions!$F$39,Assumptions!$F$40,Assumptions!$F$41)/12*Assumptions!$F$42*Assumptions!$F$43*(1-Assumptions!$F$21)</f>
        <v>366</v>
      </c>
      <c r="E21" s="8" t="n">
        <f aca="false">CHOOSE(E$5,Assumptions!$F$39,Assumptions!$F$40,Assumptions!$F$41)/12*Assumptions!$F$42*Assumptions!$F$43*(1-Assumptions!$F$21)</f>
        <v>366</v>
      </c>
      <c r="F21" s="8" t="n">
        <f aca="false">CHOOSE(F$5,Assumptions!$F$39,Assumptions!$F$40,Assumptions!$F$41)/12*Assumptions!$F$42*Assumptions!$F$43*(1-Assumptions!$F$21)</f>
        <v>366</v>
      </c>
      <c r="G21" s="8" t="n">
        <f aca="false">CHOOSE(G$5,Assumptions!$F$39,Assumptions!$F$40,Assumptions!$F$41)/12*Assumptions!$F$42*Assumptions!$F$43*(1-Assumptions!$F$21)</f>
        <v>366</v>
      </c>
      <c r="H21" s="8" t="n">
        <f aca="false">CHOOSE(H$5,Assumptions!$F$39,Assumptions!$F$40,Assumptions!$F$41)/12*Assumptions!$F$42*Assumptions!$F$43*(1-Assumptions!$F$21)</f>
        <v>366</v>
      </c>
      <c r="I21" s="8" t="n">
        <f aca="false">CHOOSE(I$5,Assumptions!$F$39,Assumptions!$F$40,Assumptions!$F$41)/12*Assumptions!$F$42*Assumptions!$F$43*(1-Assumptions!$F$21)</f>
        <v>366</v>
      </c>
      <c r="J21" s="8" t="n">
        <f aca="false">CHOOSE(J$5,Assumptions!$F$39,Assumptions!$F$40,Assumptions!$F$41)/12*Assumptions!$F$42*Assumptions!$F$43*(1-Assumptions!$F$21)</f>
        <v>366</v>
      </c>
      <c r="K21" s="8" t="n">
        <f aca="false">CHOOSE(K$5,Assumptions!$F$39,Assumptions!$F$40,Assumptions!$F$41)/12*Assumptions!$F$42*Assumptions!$F$43*(1-Assumptions!$F$21)</f>
        <v>366</v>
      </c>
      <c r="L21" s="8" t="n">
        <f aca="false">CHOOSE(L$5,Assumptions!$F$39,Assumptions!$F$40,Assumptions!$F$41)/12*Assumptions!$F$42*Assumptions!$F$43*(1-Assumptions!$F$21)</f>
        <v>366</v>
      </c>
      <c r="M21" s="8" t="n">
        <f aca="false">CHOOSE(M$5,Assumptions!$F$39,Assumptions!$F$40,Assumptions!$F$41)/12*Assumptions!$F$42*Assumptions!$F$43*(1-Assumptions!$F$21)</f>
        <v>366</v>
      </c>
      <c r="N21" s="8" t="n">
        <f aca="false">CHOOSE(N$5,Assumptions!$F$39,Assumptions!$F$40,Assumptions!$F$41)/12*Assumptions!$F$42*Assumptions!$F$43*(1-Assumptions!$F$21)</f>
        <v>366</v>
      </c>
      <c r="O21" s="8" t="n">
        <f aca="false">CHOOSE(O$5,Assumptions!$F$39,Assumptions!$F$40,Assumptions!$F$41)/12*Assumptions!$F$42*Assumptions!$F$43*(1-Assumptions!$F$21)</f>
        <v>549</v>
      </c>
      <c r="P21" s="8" t="n">
        <f aca="false">CHOOSE(P$5,Assumptions!$F$39,Assumptions!$F$40,Assumptions!$F$41)/12*Assumptions!$F$42*Assumptions!$F$43*(1-Assumptions!$F$21)</f>
        <v>549</v>
      </c>
      <c r="Q21" s="8" t="n">
        <f aca="false">CHOOSE(Q$5,Assumptions!$F$39,Assumptions!$F$40,Assumptions!$F$41)/12*Assumptions!$F$42*Assumptions!$F$43*(1-Assumptions!$F$21)</f>
        <v>549</v>
      </c>
      <c r="R21" s="8" t="n">
        <f aca="false">CHOOSE(R$5,Assumptions!$F$39,Assumptions!$F$40,Assumptions!$F$41)/12*Assumptions!$F$42*Assumptions!$F$43*(1-Assumptions!$F$21)</f>
        <v>549</v>
      </c>
      <c r="S21" s="8" t="n">
        <f aca="false">CHOOSE(S$5,Assumptions!$F$39,Assumptions!$F$40,Assumptions!$F$41)/12*Assumptions!$F$42*Assumptions!$F$43*(1-Assumptions!$F$21)</f>
        <v>549</v>
      </c>
      <c r="T21" s="8" t="n">
        <f aca="false">CHOOSE(T$5,Assumptions!$F$39,Assumptions!$F$40,Assumptions!$F$41)/12*Assumptions!$F$42*Assumptions!$F$43*(1-Assumptions!$F$21)</f>
        <v>549</v>
      </c>
      <c r="U21" s="8" t="n">
        <f aca="false">CHOOSE(U$5,Assumptions!$F$39,Assumptions!$F$40,Assumptions!$F$41)/12*Assumptions!$F$42*Assumptions!$F$43*(1-Assumptions!$F$21)</f>
        <v>549</v>
      </c>
      <c r="V21" s="8" t="n">
        <f aca="false">CHOOSE(V$5,Assumptions!$F$39,Assumptions!$F$40,Assumptions!$F$41)/12*Assumptions!$F$42*Assumptions!$F$43*(1-Assumptions!$F$21)</f>
        <v>549</v>
      </c>
      <c r="W21" s="8" t="n">
        <f aca="false">CHOOSE(W$5,Assumptions!$F$39,Assumptions!$F$40,Assumptions!$F$41)/12*Assumptions!$F$42*Assumptions!$F$43*(1-Assumptions!$F$21)</f>
        <v>549</v>
      </c>
      <c r="X21" s="8" t="n">
        <f aca="false">CHOOSE(X$5,Assumptions!$F$39,Assumptions!$F$40,Assumptions!$F$41)/12*Assumptions!$F$42*Assumptions!$F$43*(1-Assumptions!$F$21)</f>
        <v>549</v>
      </c>
      <c r="Y21" s="8" t="n">
        <f aca="false">CHOOSE(Y$5,Assumptions!$F$39,Assumptions!$F$40,Assumptions!$F$41)/12*Assumptions!$F$42*Assumptions!$F$43*(1-Assumptions!$F$21)</f>
        <v>549</v>
      </c>
      <c r="Z21" s="8" t="n">
        <f aca="false">CHOOSE(Z$5,Assumptions!$F$39,Assumptions!$F$40,Assumptions!$F$41)/12*Assumptions!$F$42*Assumptions!$F$43*(1-Assumptions!$F$21)</f>
        <v>549</v>
      </c>
      <c r="AA21" s="8" t="n">
        <f aca="false">CHOOSE(AA$5,Assumptions!$F$39,Assumptions!$F$40,Assumptions!$F$41)/12*Assumptions!$F$42*Assumptions!$F$43*(1-Assumptions!$F$21)</f>
        <v>732</v>
      </c>
      <c r="AB21" s="8" t="n">
        <f aca="false">CHOOSE(AB$5,Assumptions!$F$39,Assumptions!$F$40,Assumptions!$F$41)/12*Assumptions!$F$42*Assumptions!$F$43*(1-Assumptions!$F$21)</f>
        <v>732</v>
      </c>
      <c r="AC21" s="8" t="n">
        <f aca="false">CHOOSE(AC$5,Assumptions!$F$39,Assumptions!$F$40,Assumptions!$F$41)/12*Assumptions!$F$42*Assumptions!$F$43*(1-Assumptions!$F$21)</f>
        <v>732</v>
      </c>
      <c r="AD21" s="8" t="n">
        <f aca="false">CHOOSE(AD$5,Assumptions!$F$39,Assumptions!$F$40,Assumptions!$F$41)/12*Assumptions!$F$42*Assumptions!$F$43*(1-Assumptions!$F$21)</f>
        <v>732</v>
      </c>
      <c r="AE21" s="8" t="n">
        <f aca="false">CHOOSE(AE$5,Assumptions!$F$39,Assumptions!$F$40,Assumptions!$F$41)/12*Assumptions!$F$42*Assumptions!$F$43*(1-Assumptions!$F$21)</f>
        <v>732</v>
      </c>
      <c r="AF21" s="8" t="n">
        <f aca="false">CHOOSE(AF$5,Assumptions!$F$39,Assumptions!$F$40,Assumptions!$F$41)/12*Assumptions!$F$42*Assumptions!$F$43*(1-Assumptions!$F$21)</f>
        <v>732</v>
      </c>
      <c r="AG21" s="8" t="n">
        <f aca="false">CHOOSE(AG$5,Assumptions!$F$39,Assumptions!$F$40,Assumptions!$F$41)/12*Assumptions!$F$42*Assumptions!$F$43*(1-Assumptions!$F$21)</f>
        <v>732</v>
      </c>
      <c r="AH21" s="8" t="n">
        <f aca="false">CHOOSE(AH$5,Assumptions!$F$39,Assumptions!$F$40,Assumptions!$F$41)/12*Assumptions!$F$42*Assumptions!$F$43*(1-Assumptions!$F$21)</f>
        <v>732</v>
      </c>
      <c r="AI21" s="8" t="n">
        <f aca="false">CHOOSE(AI$5,Assumptions!$F$39,Assumptions!$F$40,Assumptions!$F$41)/12*Assumptions!$F$42*Assumptions!$F$43*(1-Assumptions!$F$21)</f>
        <v>732</v>
      </c>
      <c r="AJ21" s="8" t="n">
        <f aca="false">CHOOSE(AJ$5,Assumptions!$F$39,Assumptions!$F$40,Assumptions!$F$41)/12*Assumptions!$F$42*Assumptions!$F$43*(1-Assumptions!$F$21)</f>
        <v>732</v>
      </c>
      <c r="AK21" s="8" t="n">
        <f aca="false">CHOOSE(AK$5,Assumptions!$F$39,Assumptions!$F$40,Assumptions!$F$41)/12*Assumptions!$F$42*Assumptions!$F$43*(1-Assumptions!$F$21)</f>
        <v>732</v>
      </c>
      <c r="AL21" s="8" t="n">
        <f aca="false">CHOOSE(AL$5,Assumptions!$F$39,Assumptions!$F$40,Assumptions!$F$41)/12*Assumptions!$F$42*Assumptions!$F$43*(1-Assumptions!$F$21)</f>
        <v>732</v>
      </c>
    </row>
    <row r="22" customFormat="false" ht="15" hidden="false" customHeight="false" outlineLevel="0" collapsed="false">
      <c r="B22" s="2" t="s">
        <v>135</v>
      </c>
      <c r="C22" s="8" t="n">
        <f aca="false">INDEX(Assumptions!$C$106:$C$117,C$6)*5*CHOOSE(C$5,Assumptions!$F$48,Assumptions!$F$49,Assumptions!$F$50)*CHOOSE(C$5,Assumptions!$F$51,Assumptions!$F$52,Assumptions!$F$53)*Assumptions!$F$47*(1-Assumptions!$F$21)</f>
        <v>0</v>
      </c>
      <c r="D22" s="8" t="n">
        <f aca="false">INDEX(Assumptions!$C$106:$C$117,D$6)*5*CHOOSE(D$5,Assumptions!$F$48,Assumptions!$F$49,Assumptions!$F$50)*CHOOSE(D$5,Assumptions!$F$51,Assumptions!$F$52,Assumptions!$F$53)*Assumptions!$F$47*(1-Assumptions!$F$21)</f>
        <v>1921.5</v>
      </c>
      <c r="E22" s="8" t="n">
        <f aca="false">INDEX(Assumptions!$C$106:$C$117,E$6)*5*CHOOSE(E$5,Assumptions!$F$48,Assumptions!$F$49,Assumptions!$F$50)*CHOOSE(E$5,Assumptions!$F$51,Assumptions!$F$52,Assumptions!$F$53)*Assumptions!$F$47*(1-Assumptions!$F$21)</f>
        <v>0</v>
      </c>
      <c r="F22" s="8" t="n">
        <f aca="false">INDEX(Assumptions!$C$106:$C$117,F$6)*5*CHOOSE(F$5,Assumptions!$F$48,Assumptions!$F$49,Assumptions!$F$50)*CHOOSE(F$5,Assumptions!$F$51,Assumptions!$F$52,Assumptions!$F$53)*Assumptions!$F$47*(1-Assumptions!$F$21)</f>
        <v>3843</v>
      </c>
      <c r="G22" s="8" t="n">
        <f aca="false">INDEX(Assumptions!$C$106:$C$117,G$6)*5*CHOOSE(G$5,Assumptions!$F$48,Assumptions!$F$49,Assumptions!$F$50)*CHOOSE(G$5,Assumptions!$F$51,Assumptions!$F$52,Assumptions!$F$53)*Assumptions!$F$47*(1-Assumptions!$F$21)</f>
        <v>0</v>
      </c>
      <c r="H22" s="8" t="n">
        <f aca="false">INDEX(Assumptions!$C$106:$C$117,H$6)*5*CHOOSE(H$5,Assumptions!$F$48,Assumptions!$F$49,Assumptions!$F$50)*CHOOSE(H$5,Assumptions!$F$51,Assumptions!$F$52,Assumptions!$F$53)*Assumptions!$F$47*(1-Assumptions!$F$21)</f>
        <v>1921.5</v>
      </c>
      <c r="I22" s="8" t="n">
        <f aca="false">INDEX(Assumptions!$C$106:$C$117,I$6)*5*CHOOSE(I$5,Assumptions!$F$48,Assumptions!$F$49,Assumptions!$F$50)*CHOOSE(I$5,Assumptions!$F$51,Assumptions!$F$52,Assumptions!$F$53)*Assumptions!$F$47*(1-Assumptions!$F$21)</f>
        <v>0</v>
      </c>
      <c r="J22" s="8" t="n">
        <f aca="false">INDEX(Assumptions!$C$106:$C$117,J$6)*5*CHOOSE(J$5,Assumptions!$F$48,Assumptions!$F$49,Assumptions!$F$50)*CHOOSE(J$5,Assumptions!$F$51,Assumptions!$F$52,Assumptions!$F$53)*Assumptions!$F$47*(1-Assumptions!$F$21)</f>
        <v>3843</v>
      </c>
      <c r="K22" s="8" t="n">
        <f aca="false">INDEX(Assumptions!$C$106:$C$117,K$6)*5*CHOOSE(K$5,Assumptions!$F$48,Assumptions!$F$49,Assumptions!$F$50)*CHOOSE(K$5,Assumptions!$F$51,Assumptions!$F$52,Assumptions!$F$53)*Assumptions!$F$47*(1-Assumptions!$F$21)</f>
        <v>1921.5</v>
      </c>
      <c r="L22" s="8" t="n">
        <f aca="false">INDEX(Assumptions!$C$106:$C$117,L$6)*5*CHOOSE(L$5,Assumptions!$F$48,Assumptions!$F$49,Assumptions!$F$50)*CHOOSE(L$5,Assumptions!$F$51,Assumptions!$F$52,Assumptions!$F$53)*Assumptions!$F$47*(1-Assumptions!$F$21)</f>
        <v>0</v>
      </c>
      <c r="M22" s="8" t="n">
        <f aca="false">INDEX(Assumptions!$C$106:$C$117,M$6)*5*CHOOSE(M$5,Assumptions!$F$48,Assumptions!$F$49,Assumptions!$F$50)*CHOOSE(M$5,Assumptions!$F$51,Assumptions!$F$52,Assumptions!$F$53)*Assumptions!$F$47*(1-Assumptions!$F$21)</f>
        <v>3843</v>
      </c>
      <c r="N22" s="8" t="n">
        <f aca="false">INDEX(Assumptions!$C$106:$C$117,N$6)*5*CHOOSE(N$5,Assumptions!$F$48,Assumptions!$F$49,Assumptions!$F$50)*CHOOSE(N$5,Assumptions!$F$51,Assumptions!$F$52,Assumptions!$F$53)*Assumptions!$F$47*(1-Assumptions!$F$21)</f>
        <v>7686</v>
      </c>
      <c r="O22" s="8" t="n">
        <f aca="false">INDEX(Assumptions!$C$106:$C$117,O$6)*5*CHOOSE(O$5,Assumptions!$F$48,Assumptions!$F$49,Assumptions!$F$50)*CHOOSE(O$5,Assumptions!$F$51,Assumptions!$F$52,Assumptions!$F$53)*Assumptions!$F$47*(1-Assumptions!$F$21)</f>
        <v>0</v>
      </c>
      <c r="P22" s="8" t="n">
        <f aca="false">INDEX(Assumptions!$C$106:$C$117,P$6)*5*CHOOSE(P$5,Assumptions!$F$48,Assumptions!$F$49,Assumptions!$F$50)*CHOOSE(P$5,Assumptions!$F$51,Assumptions!$F$52,Assumptions!$F$53)*Assumptions!$F$47*(1-Assumptions!$F$21)</f>
        <v>4035.15</v>
      </c>
      <c r="Q22" s="8" t="n">
        <f aca="false">INDEX(Assumptions!$C$106:$C$117,Q$6)*5*CHOOSE(Q$5,Assumptions!$F$48,Assumptions!$F$49,Assumptions!$F$50)*CHOOSE(Q$5,Assumptions!$F$51,Assumptions!$F$52,Assumptions!$F$53)*Assumptions!$F$47*(1-Assumptions!$F$21)</f>
        <v>0</v>
      </c>
      <c r="R22" s="8" t="n">
        <f aca="false">INDEX(Assumptions!$C$106:$C$117,R$6)*5*CHOOSE(R$5,Assumptions!$F$48,Assumptions!$F$49,Assumptions!$F$50)*CHOOSE(R$5,Assumptions!$F$51,Assumptions!$F$52,Assumptions!$F$53)*Assumptions!$F$47*(1-Assumptions!$F$21)</f>
        <v>8070.3</v>
      </c>
      <c r="S22" s="8" t="n">
        <f aca="false">INDEX(Assumptions!$C$106:$C$117,S$6)*5*CHOOSE(S$5,Assumptions!$F$48,Assumptions!$F$49,Assumptions!$F$50)*CHOOSE(S$5,Assumptions!$F$51,Assumptions!$F$52,Assumptions!$F$53)*Assumptions!$F$47*(1-Assumptions!$F$21)</f>
        <v>0</v>
      </c>
      <c r="T22" s="8" t="n">
        <f aca="false">INDEX(Assumptions!$C$106:$C$117,T$6)*5*CHOOSE(T$5,Assumptions!$F$48,Assumptions!$F$49,Assumptions!$F$50)*CHOOSE(T$5,Assumptions!$F$51,Assumptions!$F$52,Assumptions!$F$53)*Assumptions!$F$47*(1-Assumptions!$F$21)</f>
        <v>4035.15</v>
      </c>
      <c r="U22" s="8" t="n">
        <f aca="false">INDEX(Assumptions!$C$106:$C$117,U$6)*5*CHOOSE(U$5,Assumptions!$F$48,Assumptions!$F$49,Assumptions!$F$50)*CHOOSE(U$5,Assumptions!$F$51,Assumptions!$F$52,Assumptions!$F$53)*Assumptions!$F$47*(1-Assumptions!$F$21)</f>
        <v>0</v>
      </c>
      <c r="V22" s="8" t="n">
        <f aca="false">INDEX(Assumptions!$C$106:$C$117,V$6)*5*CHOOSE(V$5,Assumptions!$F$48,Assumptions!$F$49,Assumptions!$F$50)*CHOOSE(V$5,Assumptions!$F$51,Assumptions!$F$52,Assumptions!$F$53)*Assumptions!$F$47*(1-Assumptions!$F$21)</f>
        <v>8070.3</v>
      </c>
      <c r="W22" s="8" t="n">
        <f aca="false">INDEX(Assumptions!$C$106:$C$117,W$6)*5*CHOOSE(W$5,Assumptions!$F$48,Assumptions!$F$49,Assumptions!$F$50)*CHOOSE(W$5,Assumptions!$F$51,Assumptions!$F$52,Assumptions!$F$53)*Assumptions!$F$47*(1-Assumptions!$F$21)</f>
        <v>4035.15</v>
      </c>
      <c r="X22" s="8" t="n">
        <f aca="false">INDEX(Assumptions!$C$106:$C$117,X$6)*5*CHOOSE(X$5,Assumptions!$F$48,Assumptions!$F$49,Assumptions!$F$50)*CHOOSE(X$5,Assumptions!$F$51,Assumptions!$F$52,Assumptions!$F$53)*Assumptions!$F$47*(1-Assumptions!$F$21)</f>
        <v>0</v>
      </c>
      <c r="Y22" s="8" t="n">
        <f aca="false">INDEX(Assumptions!$C$106:$C$117,Y$6)*5*CHOOSE(Y$5,Assumptions!$F$48,Assumptions!$F$49,Assumptions!$F$50)*CHOOSE(Y$5,Assumptions!$F$51,Assumptions!$F$52,Assumptions!$F$53)*Assumptions!$F$47*(1-Assumptions!$F$21)</f>
        <v>8070.3</v>
      </c>
      <c r="Z22" s="8" t="n">
        <f aca="false">INDEX(Assumptions!$C$106:$C$117,Z$6)*5*CHOOSE(Z$5,Assumptions!$F$48,Assumptions!$F$49,Assumptions!$F$50)*CHOOSE(Z$5,Assumptions!$F$51,Assumptions!$F$52,Assumptions!$F$53)*Assumptions!$F$47*(1-Assumptions!$F$21)</f>
        <v>16140.6</v>
      </c>
      <c r="AA22" s="8" t="n">
        <f aca="false">INDEX(Assumptions!$C$106:$C$117,AA$6)*5*CHOOSE(AA$5,Assumptions!$F$48,Assumptions!$F$49,Assumptions!$F$50)*CHOOSE(AA$5,Assumptions!$F$51,Assumptions!$F$52,Assumptions!$F$53)*Assumptions!$F$47*(1-Assumptions!$F$21)</f>
        <v>0</v>
      </c>
      <c r="AB22" s="8" t="n">
        <f aca="false">INDEX(Assumptions!$C$106:$C$117,AB$6)*5*CHOOSE(AB$5,Assumptions!$F$48,Assumptions!$F$49,Assumptions!$F$50)*CHOOSE(AB$5,Assumptions!$F$51,Assumptions!$F$52,Assumptions!$F$53)*Assumptions!$F$47*(1-Assumptions!$F$21)</f>
        <v>5764.5</v>
      </c>
      <c r="AC22" s="8" t="n">
        <f aca="false">INDEX(Assumptions!$C$106:$C$117,AC$6)*5*CHOOSE(AC$5,Assumptions!$F$48,Assumptions!$F$49,Assumptions!$F$50)*CHOOSE(AC$5,Assumptions!$F$51,Assumptions!$F$52,Assumptions!$F$53)*Assumptions!$F$47*(1-Assumptions!$F$21)</f>
        <v>0</v>
      </c>
      <c r="AD22" s="8" t="n">
        <f aca="false">INDEX(Assumptions!$C$106:$C$117,AD$6)*5*CHOOSE(AD$5,Assumptions!$F$48,Assumptions!$F$49,Assumptions!$F$50)*CHOOSE(AD$5,Assumptions!$F$51,Assumptions!$F$52,Assumptions!$F$53)*Assumptions!$F$47*(1-Assumptions!$F$21)</f>
        <v>11529</v>
      </c>
      <c r="AE22" s="8" t="n">
        <f aca="false">INDEX(Assumptions!$C$106:$C$117,AE$6)*5*CHOOSE(AE$5,Assumptions!$F$48,Assumptions!$F$49,Assumptions!$F$50)*CHOOSE(AE$5,Assumptions!$F$51,Assumptions!$F$52,Assumptions!$F$53)*Assumptions!$F$47*(1-Assumptions!$F$21)</f>
        <v>0</v>
      </c>
      <c r="AF22" s="8" t="n">
        <f aca="false">INDEX(Assumptions!$C$106:$C$117,AF$6)*5*CHOOSE(AF$5,Assumptions!$F$48,Assumptions!$F$49,Assumptions!$F$50)*CHOOSE(AF$5,Assumptions!$F$51,Assumptions!$F$52,Assumptions!$F$53)*Assumptions!$F$47*(1-Assumptions!$F$21)</f>
        <v>5764.5</v>
      </c>
      <c r="AG22" s="8" t="n">
        <f aca="false">INDEX(Assumptions!$C$106:$C$117,AG$6)*5*CHOOSE(AG$5,Assumptions!$F$48,Assumptions!$F$49,Assumptions!$F$50)*CHOOSE(AG$5,Assumptions!$F$51,Assumptions!$F$52,Assumptions!$F$53)*Assumptions!$F$47*(1-Assumptions!$F$21)</f>
        <v>0</v>
      </c>
      <c r="AH22" s="8" t="n">
        <f aca="false">INDEX(Assumptions!$C$106:$C$117,AH$6)*5*CHOOSE(AH$5,Assumptions!$F$48,Assumptions!$F$49,Assumptions!$F$50)*CHOOSE(AH$5,Assumptions!$F$51,Assumptions!$F$52,Assumptions!$F$53)*Assumptions!$F$47*(1-Assumptions!$F$21)</f>
        <v>11529</v>
      </c>
      <c r="AI22" s="8" t="n">
        <f aca="false">INDEX(Assumptions!$C$106:$C$117,AI$6)*5*CHOOSE(AI$5,Assumptions!$F$48,Assumptions!$F$49,Assumptions!$F$50)*CHOOSE(AI$5,Assumptions!$F$51,Assumptions!$F$52,Assumptions!$F$53)*Assumptions!$F$47*(1-Assumptions!$F$21)</f>
        <v>5764.5</v>
      </c>
      <c r="AJ22" s="8" t="n">
        <f aca="false">INDEX(Assumptions!$C$106:$C$117,AJ$6)*5*CHOOSE(AJ$5,Assumptions!$F$48,Assumptions!$F$49,Assumptions!$F$50)*CHOOSE(AJ$5,Assumptions!$F$51,Assumptions!$F$52,Assumptions!$F$53)*Assumptions!$F$47*(1-Assumptions!$F$21)</f>
        <v>0</v>
      </c>
      <c r="AK22" s="8" t="n">
        <f aca="false">INDEX(Assumptions!$C$106:$C$117,AK$6)*5*CHOOSE(AK$5,Assumptions!$F$48,Assumptions!$F$49,Assumptions!$F$50)*CHOOSE(AK$5,Assumptions!$F$51,Assumptions!$F$52,Assumptions!$F$53)*Assumptions!$F$47*(1-Assumptions!$F$21)</f>
        <v>11529</v>
      </c>
      <c r="AL22" s="8" t="n">
        <f aca="false">INDEX(Assumptions!$C$106:$C$117,AL$6)*5*CHOOSE(AL$5,Assumptions!$F$48,Assumptions!$F$49,Assumptions!$F$50)*CHOOSE(AL$5,Assumptions!$F$51,Assumptions!$F$52,Assumptions!$F$53)*Assumptions!$F$47*(1-Assumptions!$F$21)</f>
        <v>23058</v>
      </c>
    </row>
    <row r="23" customFormat="false" ht="15" hidden="false" customHeight="false" outlineLevel="0" collapsed="false">
      <c r="B23" s="2" t="s">
        <v>260</v>
      </c>
      <c r="C23" s="8" t="n">
        <f aca="false">INDEX(Assumptions!$D$106:$D$117,C$6)*Assumptions!$F$62*CHOOSE(C$5,Assumptions!$F$58,Assumptions!$F$59,Assumptions!$F$60)*Assumptions!$F$61</f>
        <v>0</v>
      </c>
      <c r="D23" s="8" t="n">
        <f aca="false">INDEX(Assumptions!$D$106:$D$117,D$6)*Assumptions!$F$62*CHOOSE(D$5,Assumptions!$F$58,Assumptions!$F$59,Assumptions!$F$60)*Assumptions!$F$61</f>
        <v>0</v>
      </c>
      <c r="E23" s="8" t="n">
        <f aca="false">INDEX(Assumptions!$D$106:$D$117,E$6)*Assumptions!$F$62*CHOOSE(E$5,Assumptions!$F$58,Assumptions!$F$59,Assumptions!$F$60)*Assumptions!$F$61</f>
        <v>0</v>
      </c>
      <c r="F23" s="8" t="n">
        <f aca="false">INDEX(Assumptions!$D$106:$D$117,F$6)*Assumptions!$F$62*CHOOSE(F$5,Assumptions!$F$58,Assumptions!$F$59,Assumptions!$F$60)*Assumptions!$F$61</f>
        <v>1500</v>
      </c>
      <c r="G23" s="8" t="n">
        <f aca="false">INDEX(Assumptions!$D$106:$D$117,G$6)*Assumptions!$F$62*CHOOSE(G$5,Assumptions!$F$58,Assumptions!$F$59,Assumptions!$F$60)*Assumptions!$F$61</f>
        <v>0</v>
      </c>
      <c r="H23" s="8" t="n">
        <f aca="false">INDEX(Assumptions!$D$106:$D$117,H$6)*Assumptions!$F$62*CHOOSE(H$5,Assumptions!$F$58,Assumptions!$F$59,Assumptions!$F$60)*Assumptions!$F$61</f>
        <v>0</v>
      </c>
      <c r="I23" s="8" t="n">
        <f aca="false">INDEX(Assumptions!$D$106:$D$117,I$6)*Assumptions!$F$62*CHOOSE(I$5,Assumptions!$F$58,Assumptions!$F$59,Assumptions!$F$60)*Assumptions!$F$61</f>
        <v>0</v>
      </c>
      <c r="J23" s="8" t="n">
        <f aca="false">INDEX(Assumptions!$D$106:$D$117,J$6)*Assumptions!$F$62*CHOOSE(J$5,Assumptions!$F$58,Assumptions!$F$59,Assumptions!$F$60)*Assumptions!$F$61</f>
        <v>1500</v>
      </c>
      <c r="K23" s="8" t="n">
        <f aca="false">INDEX(Assumptions!$D$106:$D$117,K$6)*Assumptions!$F$62*CHOOSE(K$5,Assumptions!$F$58,Assumptions!$F$59,Assumptions!$F$60)*Assumptions!$F$61</f>
        <v>0</v>
      </c>
      <c r="L23" s="8" t="n">
        <f aca="false">INDEX(Assumptions!$D$106:$D$117,L$6)*Assumptions!$F$62*CHOOSE(L$5,Assumptions!$F$58,Assumptions!$F$59,Assumptions!$F$60)*Assumptions!$F$61</f>
        <v>0</v>
      </c>
      <c r="M23" s="8" t="n">
        <f aca="false">INDEX(Assumptions!$D$106:$D$117,M$6)*Assumptions!$F$62*CHOOSE(M$5,Assumptions!$F$58,Assumptions!$F$59,Assumptions!$F$60)*Assumptions!$F$61</f>
        <v>1500</v>
      </c>
      <c r="N23" s="8" t="n">
        <f aca="false">INDEX(Assumptions!$D$106:$D$117,N$6)*Assumptions!$F$62*CHOOSE(N$5,Assumptions!$F$58,Assumptions!$F$59,Assumptions!$F$60)*Assumptions!$F$61</f>
        <v>4500</v>
      </c>
      <c r="O23" s="8" t="n">
        <f aca="false">INDEX(Assumptions!$D$106:$D$117,O$6)*Assumptions!$F$62*CHOOSE(O$5,Assumptions!$F$58,Assumptions!$F$59,Assumptions!$F$60)*Assumptions!$F$61</f>
        <v>0</v>
      </c>
      <c r="P23" s="8" t="n">
        <f aca="false">INDEX(Assumptions!$D$106:$D$117,P$6)*Assumptions!$F$62*CHOOSE(P$5,Assumptions!$F$58,Assumptions!$F$59,Assumptions!$F$60)*Assumptions!$F$61</f>
        <v>0</v>
      </c>
      <c r="Q23" s="8" t="n">
        <f aca="false">INDEX(Assumptions!$D$106:$D$117,Q$6)*Assumptions!$F$62*CHOOSE(Q$5,Assumptions!$F$58,Assumptions!$F$59,Assumptions!$F$60)*Assumptions!$F$61</f>
        <v>0</v>
      </c>
      <c r="R23" s="8" t="n">
        <f aca="false">INDEX(Assumptions!$D$106:$D$117,R$6)*Assumptions!$F$62*CHOOSE(R$5,Assumptions!$F$58,Assumptions!$F$59,Assumptions!$F$60)*Assumptions!$F$61</f>
        <v>2000</v>
      </c>
      <c r="S23" s="8" t="n">
        <f aca="false">INDEX(Assumptions!$D$106:$D$117,S$6)*Assumptions!$F$62*CHOOSE(S$5,Assumptions!$F$58,Assumptions!$F$59,Assumptions!$F$60)*Assumptions!$F$61</f>
        <v>0</v>
      </c>
      <c r="T23" s="8" t="n">
        <f aca="false">INDEX(Assumptions!$D$106:$D$117,T$6)*Assumptions!$F$62*CHOOSE(T$5,Assumptions!$F$58,Assumptions!$F$59,Assumptions!$F$60)*Assumptions!$F$61</f>
        <v>0</v>
      </c>
      <c r="U23" s="8" t="n">
        <f aca="false">INDEX(Assumptions!$D$106:$D$117,U$6)*Assumptions!$F$62*CHOOSE(U$5,Assumptions!$F$58,Assumptions!$F$59,Assumptions!$F$60)*Assumptions!$F$61</f>
        <v>0</v>
      </c>
      <c r="V23" s="8" t="n">
        <f aca="false">INDEX(Assumptions!$D$106:$D$117,V$6)*Assumptions!$F$62*CHOOSE(V$5,Assumptions!$F$58,Assumptions!$F$59,Assumptions!$F$60)*Assumptions!$F$61</f>
        <v>2000</v>
      </c>
      <c r="W23" s="8" t="n">
        <f aca="false">INDEX(Assumptions!$D$106:$D$117,W$6)*Assumptions!$F$62*CHOOSE(W$5,Assumptions!$F$58,Assumptions!$F$59,Assumptions!$F$60)*Assumptions!$F$61</f>
        <v>0</v>
      </c>
      <c r="X23" s="8" t="n">
        <f aca="false">INDEX(Assumptions!$D$106:$D$117,X$6)*Assumptions!$F$62*CHOOSE(X$5,Assumptions!$F$58,Assumptions!$F$59,Assumptions!$F$60)*Assumptions!$F$61</f>
        <v>0</v>
      </c>
      <c r="Y23" s="8" t="n">
        <f aca="false">INDEX(Assumptions!$D$106:$D$117,Y$6)*Assumptions!$F$62*CHOOSE(Y$5,Assumptions!$F$58,Assumptions!$F$59,Assumptions!$F$60)*Assumptions!$F$61</f>
        <v>2000</v>
      </c>
      <c r="Z23" s="8" t="n">
        <f aca="false">INDEX(Assumptions!$D$106:$D$117,Z$6)*Assumptions!$F$62*CHOOSE(Z$5,Assumptions!$F$58,Assumptions!$F$59,Assumptions!$F$60)*Assumptions!$F$61</f>
        <v>6000</v>
      </c>
      <c r="AA23" s="8" t="n">
        <f aca="false">INDEX(Assumptions!$D$106:$D$117,AA$6)*Assumptions!$F$62*CHOOSE(AA$5,Assumptions!$F$58,Assumptions!$F$59,Assumptions!$F$60)*Assumptions!$F$61</f>
        <v>0</v>
      </c>
      <c r="AB23" s="8" t="n">
        <f aca="false">INDEX(Assumptions!$D$106:$D$117,AB$6)*Assumptions!$F$62*CHOOSE(AB$5,Assumptions!$F$58,Assumptions!$F$59,Assumptions!$F$60)*Assumptions!$F$61</f>
        <v>0</v>
      </c>
      <c r="AC23" s="8" t="n">
        <f aca="false">INDEX(Assumptions!$D$106:$D$117,AC$6)*Assumptions!$F$62*CHOOSE(AC$5,Assumptions!$F$58,Assumptions!$F$59,Assumptions!$F$60)*Assumptions!$F$61</f>
        <v>0</v>
      </c>
      <c r="AD23" s="8" t="n">
        <f aca="false">INDEX(Assumptions!$D$106:$D$117,AD$6)*Assumptions!$F$62*CHOOSE(AD$5,Assumptions!$F$58,Assumptions!$F$59,Assumptions!$F$60)*Assumptions!$F$61</f>
        <v>2500</v>
      </c>
      <c r="AE23" s="8" t="n">
        <f aca="false">INDEX(Assumptions!$D$106:$D$117,AE$6)*Assumptions!$F$62*CHOOSE(AE$5,Assumptions!$F$58,Assumptions!$F$59,Assumptions!$F$60)*Assumptions!$F$61</f>
        <v>0</v>
      </c>
      <c r="AF23" s="8" t="n">
        <f aca="false">INDEX(Assumptions!$D$106:$D$117,AF$6)*Assumptions!$F$62*CHOOSE(AF$5,Assumptions!$F$58,Assumptions!$F$59,Assumptions!$F$60)*Assumptions!$F$61</f>
        <v>0</v>
      </c>
      <c r="AG23" s="8" t="n">
        <f aca="false">INDEX(Assumptions!$D$106:$D$117,AG$6)*Assumptions!$F$62*CHOOSE(AG$5,Assumptions!$F$58,Assumptions!$F$59,Assumptions!$F$60)*Assumptions!$F$61</f>
        <v>0</v>
      </c>
      <c r="AH23" s="8" t="n">
        <f aca="false">INDEX(Assumptions!$D$106:$D$117,AH$6)*Assumptions!$F$62*CHOOSE(AH$5,Assumptions!$F$58,Assumptions!$F$59,Assumptions!$F$60)*Assumptions!$F$61</f>
        <v>2500</v>
      </c>
      <c r="AI23" s="8" t="n">
        <f aca="false">INDEX(Assumptions!$D$106:$D$117,AI$6)*Assumptions!$F$62*CHOOSE(AI$5,Assumptions!$F$58,Assumptions!$F$59,Assumptions!$F$60)*Assumptions!$F$61</f>
        <v>0</v>
      </c>
      <c r="AJ23" s="8" t="n">
        <f aca="false">INDEX(Assumptions!$D$106:$D$117,AJ$6)*Assumptions!$F$62*CHOOSE(AJ$5,Assumptions!$F$58,Assumptions!$F$59,Assumptions!$F$60)*Assumptions!$F$61</f>
        <v>0</v>
      </c>
      <c r="AK23" s="8" t="n">
        <f aca="false">INDEX(Assumptions!$D$106:$D$117,AK$6)*Assumptions!$F$62*CHOOSE(AK$5,Assumptions!$F$58,Assumptions!$F$59,Assumptions!$F$60)*Assumptions!$F$61</f>
        <v>2500</v>
      </c>
      <c r="AL23" s="8" t="n">
        <f aca="false">INDEX(Assumptions!$D$106:$D$117,AL$6)*Assumptions!$F$62*CHOOSE(AL$5,Assumptions!$F$58,Assumptions!$F$59,Assumptions!$F$60)*Assumptions!$F$61</f>
        <v>7500</v>
      </c>
    </row>
    <row r="24" customFormat="false" ht="15" hidden="false" customHeight="false" outlineLevel="0" collapsed="false">
      <c r="B24" s="2" t="s">
        <v>261</v>
      </c>
      <c r="C24" s="8" t="n">
        <f aca="false">Assumptions!$F$66*Assumptions!$F$20/12*CHOOSE(C$5,Assumptions!$F$67,Assumptions!$F$68,Assumptions!$F$69)*Assumptions!$F$65*(1-Assumptions!$F$21)</f>
        <v>1040.8125</v>
      </c>
      <c r="D24" s="8" t="n">
        <f aca="false">Assumptions!$F$66*Assumptions!$F$20/12*CHOOSE(D$5,Assumptions!$F$67,Assumptions!$F$68,Assumptions!$F$69)*Assumptions!$F$65*(1-Assumptions!$F$21)</f>
        <v>1040.8125</v>
      </c>
      <c r="E24" s="8" t="n">
        <f aca="false">Assumptions!$F$66*Assumptions!$F$20/12*CHOOSE(E$5,Assumptions!$F$67,Assumptions!$F$68,Assumptions!$F$69)*Assumptions!$F$65*(1-Assumptions!$F$21)</f>
        <v>1040.8125</v>
      </c>
      <c r="F24" s="8" t="n">
        <f aca="false">Assumptions!$F$66*Assumptions!$F$20/12*CHOOSE(F$5,Assumptions!$F$67,Assumptions!$F$68,Assumptions!$F$69)*Assumptions!$F$65*(1-Assumptions!$F$21)</f>
        <v>1040.8125</v>
      </c>
      <c r="G24" s="8" t="n">
        <f aca="false">Assumptions!$F$66*Assumptions!$F$20/12*CHOOSE(G$5,Assumptions!$F$67,Assumptions!$F$68,Assumptions!$F$69)*Assumptions!$F$65*(1-Assumptions!$F$21)</f>
        <v>1040.8125</v>
      </c>
      <c r="H24" s="8" t="n">
        <f aca="false">Assumptions!$F$66*Assumptions!$F$20/12*CHOOSE(H$5,Assumptions!$F$67,Assumptions!$F$68,Assumptions!$F$69)*Assumptions!$F$65*(1-Assumptions!$F$21)</f>
        <v>1040.8125</v>
      </c>
      <c r="I24" s="8" t="n">
        <f aca="false">Assumptions!$F$66*Assumptions!$F$20/12*CHOOSE(I$5,Assumptions!$F$67,Assumptions!$F$68,Assumptions!$F$69)*Assumptions!$F$65*(1-Assumptions!$F$21)</f>
        <v>1040.8125</v>
      </c>
      <c r="J24" s="8" t="n">
        <f aca="false">Assumptions!$F$66*Assumptions!$F$20/12*CHOOSE(J$5,Assumptions!$F$67,Assumptions!$F$68,Assumptions!$F$69)*Assumptions!$F$65*(1-Assumptions!$F$21)</f>
        <v>1040.8125</v>
      </c>
      <c r="K24" s="8" t="n">
        <f aca="false">Assumptions!$F$66*Assumptions!$F$20/12*CHOOSE(K$5,Assumptions!$F$67,Assumptions!$F$68,Assumptions!$F$69)*Assumptions!$F$65*(1-Assumptions!$F$21)</f>
        <v>1040.8125</v>
      </c>
      <c r="L24" s="8" t="n">
        <f aca="false">Assumptions!$F$66*Assumptions!$F$20/12*CHOOSE(L$5,Assumptions!$F$67,Assumptions!$F$68,Assumptions!$F$69)*Assumptions!$F$65*(1-Assumptions!$F$21)</f>
        <v>1040.8125</v>
      </c>
      <c r="M24" s="8" t="n">
        <f aca="false">Assumptions!$F$66*Assumptions!$F$20/12*CHOOSE(M$5,Assumptions!$F$67,Assumptions!$F$68,Assumptions!$F$69)*Assumptions!$F$65*(1-Assumptions!$F$21)</f>
        <v>1040.8125</v>
      </c>
      <c r="N24" s="8" t="n">
        <f aca="false">Assumptions!$F$66*Assumptions!$F$20/12*CHOOSE(N$5,Assumptions!$F$67,Assumptions!$F$68,Assumptions!$F$69)*Assumptions!$F$65*(1-Assumptions!$F$21)</f>
        <v>1040.8125</v>
      </c>
      <c r="O24" s="8" t="n">
        <f aca="false">Assumptions!$F$66*Assumptions!$F$20/12*CHOOSE(O$5,Assumptions!$F$67,Assumptions!$F$68,Assumptions!$F$69)*Assumptions!$F$65*(1-Assumptions!$F$21)</f>
        <v>1561.21875</v>
      </c>
      <c r="P24" s="8" t="n">
        <f aca="false">Assumptions!$F$66*Assumptions!$F$20/12*CHOOSE(P$5,Assumptions!$F$67,Assumptions!$F$68,Assumptions!$F$69)*Assumptions!$F$65*(1-Assumptions!$F$21)</f>
        <v>1561.21875</v>
      </c>
      <c r="Q24" s="8" t="n">
        <f aca="false">Assumptions!$F$66*Assumptions!$F$20/12*CHOOSE(Q$5,Assumptions!$F$67,Assumptions!$F$68,Assumptions!$F$69)*Assumptions!$F$65*(1-Assumptions!$F$21)</f>
        <v>1561.21875</v>
      </c>
      <c r="R24" s="8" t="n">
        <f aca="false">Assumptions!$F$66*Assumptions!$F$20/12*CHOOSE(R$5,Assumptions!$F$67,Assumptions!$F$68,Assumptions!$F$69)*Assumptions!$F$65*(1-Assumptions!$F$21)</f>
        <v>1561.21875</v>
      </c>
      <c r="S24" s="8" t="n">
        <f aca="false">Assumptions!$F$66*Assumptions!$F$20/12*CHOOSE(S$5,Assumptions!$F$67,Assumptions!$F$68,Assumptions!$F$69)*Assumptions!$F$65*(1-Assumptions!$F$21)</f>
        <v>1561.21875</v>
      </c>
      <c r="T24" s="8" t="n">
        <f aca="false">Assumptions!$F$66*Assumptions!$F$20/12*CHOOSE(T$5,Assumptions!$F$67,Assumptions!$F$68,Assumptions!$F$69)*Assumptions!$F$65*(1-Assumptions!$F$21)</f>
        <v>1561.21875</v>
      </c>
      <c r="U24" s="8" t="n">
        <f aca="false">Assumptions!$F$66*Assumptions!$F$20/12*CHOOSE(U$5,Assumptions!$F$67,Assumptions!$F$68,Assumptions!$F$69)*Assumptions!$F$65*(1-Assumptions!$F$21)</f>
        <v>1561.21875</v>
      </c>
      <c r="V24" s="8" t="n">
        <f aca="false">Assumptions!$F$66*Assumptions!$F$20/12*CHOOSE(V$5,Assumptions!$F$67,Assumptions!$F$68,Assumptions!$F$69)*Assumptions!$F$65*(1-Assumptions!$F$21)</f>
        <v>1561.21875</v>
      </c>
      <c r="W24" s="8" t="n">
        <f aca="false">Assumptions!$F$66*Assumptions!$F$20/12*CHOOSE(W$5,Assumptions!$F$67,Assumptions!$F$68,Assumptions!$F$69)*Assumptions!$F$65*(1-Assumptions!$F$21)</f>
        <v>1561.21875</v>
      </c>
      <c r="X24" s="8" t="n">
        <f aca="false">Assumptions!$F$66*Assumptions!$F$20/12*CHOOSE(X$5,Assumptions!$F$67,Assumptions!$F$68,Assumptions!$F$69)*Assumptions!$F$65*(1-Assumptions!$F$21)</f>
        <v>1561.21875</v>
      </c>
      <c r="Y24" s="8" t="n">
        <f aca="false">Assumptions!$F$66*Assumptions!$F$20/12*CHOOSE(Y$5,Assumptions!$F$67,Assumptions!$F$68,Assumptions!$F$69)*Assumptions!$F$65*(1-Assumptions!$F$21)</f>
        <v>1561.21875</v>
      </c>
      <c r="Z24" s="8" t="n">
        <f aca="false">Assumptions!$F$66*Assumptions!$F$20/12*CHOOSE(Z$5,Assumptions!$F$67,Assumptions!$F$68,Assumptions!$F$69)*Assumptions!$F$65*(1-Assumptions!$F$21)</f>
        <v>1561.21875</v>
      </c>
      <c r="AA24" s="8" t="n">
        <f aca="false">Assumptions!$F$66*Assumptions!$F$20/12*CHOOSE(AA$5,Assumptions!$F$67,Assumptions!$F$68,Assumptions!$F$69)*Assumptions!$F$65*(1-Assumptions!$F$21)</f>
        <v>2081.625</v>
      </c>
      <c r="AB24" s="8" t="n">
        <f aca="false">Assumptions!$F$66*Assumptions!$F$20/12*CHOOSE(AB$5,Assumptions!$F$67,Assumptions!$F$68,Assumptions!$F$69)*Assumptions!$F$65*(1-Assumptions!$F$21)</f>
        <v>2081.625</v>
      </c>
      <c r="AC24" s="8" t="n">
        <f aca="false">Assumptions!$F$66*Assumptions!$F$20/12*CHOOSE(AC$5,Assumptions!$F$67,Assumptions!$F$68,Assumptions!$F$69)*Assumptions!$F$65*(1-Assumptions!$F$21)</f>
        <v>2081.625</v>
      </c>
      <c r="AD24" s="8" t="n">
        <f aca="false">Assumptions!$F$66*Assumptions!$F$20/12*CHOOSE(AD$5,Assumptions!$F$67,Assumptions!$F$68,Assumptions!$F$69)*Assumptions!$F$65*(1-Assumptions!$F$21)</f>
        <v>2081.625</v>
      </c>
      <c r="AE24" s="8" t="n">
        <f aca="false">Assumptions!$F$66*Assumptions!$F$20/12*CHOOSE(AE$5,Assumptions!$F$67,Assumptions!$F$68,Assumptions!$F$69)*Assumptions!$F$65*(1-Assumptions!$F$21)</f>
        <v>2081.625</v>
      </c>
      <c r="AF24" s="8" t="n">
        <f aca="false">Assumptions!$F$66*Assumptions!$F$20/12*CHOOSE(AF$5,Assumptions!$F$67,Assumptions!$F$68,Assumptions!$F$69)*Assumptions!$F$65*(1-Assumptions!$F$21)</f>
        <v>2081.625</v>
      </c>
      <c r="AG24" s="8" t="n">
        <f aca="false">Assumptions!$F$66*Assumptions!$F$20/12*CHOOSE(AG$5,Assumptions!$F$67,Assumptions!$F$68,Assumptions!$F$69)*Assumptions!$F$65*(1-Assumptions!$F$21)</f>
        <v>2081.625</v>
      </c>
      <c r="AH24" s="8" t="n">
        <f aca="false">Assumptions!$F$66*Assumptions!$F$20/12*CHOOSE(AH$5,Assumptions!$F$67,Assumptions!$F$68,Assumptions!$F$69)*Assumptions!$F$65*(1-Assumptions!$F$21)</f>
        <v>2081.625</v>
      </c>
      <c r="AI24" s="8" t="n">
        <f aca="false">Assumptions!$F$66*Assumptions!$F$20/12*CHOOSE(AI$5,Assumptions!$F$67,Assumptions!$F$68,Assumptions!$F$69)*Assumptions!$F$65*(1-Assumptions!$F$21)</f>
        <v>2081.625</v>
      </c>
      <c r="AJ24" s="8" t="n">
        <f aca="false">Assumptions!$F$66*Assumptions!$F$20/12*CHOOSE(AJ$5,Assumptions!$F$67,Assumptions!$F$68,Assumptions!$F$69)*Assumptions!$F$65*(1-Assumptions!$F$21)</f>
        <v>2081.625</v>
      </c>
      <c r="AK24" s="8" t="n">
        <f aca="false">Assumptions!$F$66*Assumptions!$F$20/12*CHOOSE(AK$5,Assumptions!$F$67,Assumptions!$F$68,Assumptions!$F$69)*Assumptions!$F$65*(1-Assumptions!$F$21)</f>
        <v>2081.625</v>
      </c>
      <c r="AL24" s="8" t="n">
        <f aca="false">Assumptions!$F$66*Assumptions!$F$20/12*CHOOSE(AL$5,Assumptions!$F$67,Assumptions!$F$68,Assumptions!$F$69)*Assumptions!$F$65*(1-Assumptions!$F$21)</f>
        <v>2081.625</v>
      </c>
    </row>
    <row r="25" customFormat="false" ht="15" hidden="false" customHeight="false" outlineLevel="0" collapsed="false">
      <c r="B25" s="2" t="s">
        <v>172</v>
      </c>
      <c r="C25" s="8" t="n">
        <f aca="false">CHOOSE(C$5,Assumptions!$F$74,Assumptions!$F$75,Assumptions!$F$76)*Assumptions!$F$72*Assumptions!$F$73/12*(1-Assumptions!$F$21)</f>
        <v>439.2</v>
      </c>
      <c r="D25" s="8" t="n">
        <f aca="false">CHOOSE(D$5,Assumptions!$F$74,Assumptions!$F$75,Assumptions!$F$76)*Assumptions!$F$72*Assumptions!$F$73/12*(1-Assumptions!$F$21)</f>
        <v>439.2</v>
      </c>
      <c r="E25" s="8" t="n">
        <f aca="false">CHOOSE(E$5,Assumptions!$F$74,Assumptions!$F$75,Assumptions!$F$76)*Assumptions!$F$72*Assumptions!$F$73/12*(1-Assumptions!$F$21)</f>
        <v>439.2</v>
      </c>
      <c r="F25" s="8" t="n">
        <f aca="false">CHOOSE(F$5,Assumptions!$F$74,Assumptions!$F$75,Assumptions!$F$76)*Assumptions!$F$72*Assumptions!$F$73/12*(1-Assumptions!$F$21)</f>
        <v>439.2</v>
      </c>
      <c r="G25" s="8" t="n">
        <f aca="false">CHOOSE(G$5,Assumptions!$F$74,Assumptions!$F$75,Assumptions!$F$76)*Assumptions!$F$72*Assumptions!$F$73/12*(1-Assumptions!$F$21)</f>
        <v>439.2</v>
      </c>
      <c r="H25" s="8" t="n">
        <f aca="false">CHOOSE(H$5,Assumptions!$F$74,Assumptions!$F$75,Assumptions!$F$76)*Assumptions!$F$72*Assumptions!$F$73/12*(1-Assumptions!$F$21)</f>
        <v>439.2</v>
      </c>
      <c r="I25" s="8" t="n">
        <f aca="false">CHOOSE(I$5,Assumptions!$F$74,Assumptions!$F$75,Assumptions!$F$76)*Assumptions!$F$72*Assumptions!$F$73/12*(1-Assumptions!$F$21)</f>
        <v>439.2</v>
      </c>
      <c r="J25" s="8" t="n">
        <f aca="false">CHOOSE(J$5,Assumptions!$F$74,Assumptions!$F$75,Assumptions!$F$76)*Assumptions!$F$72*Assumptions!$F$73/12*(1-Assumptions!$F$21)</f>
        <v>439.2</v>
      </c>
      <c r="K25" s="8" t="n">
        <f aca="false">CHOOSE(K$5,Assumptions!$F$74,Assumptions!$F$75,Assumptions!$F$76)*Assumptions!$F$72*Assumptions!$F$73/12*(1-Assumptions!$F$21)</f>
        <v>439.2</v>
      </c>
      <c r="L25" s="8" t="n">
        <f aca="false">CHOOSE(L$5,Assumptions!$F$74,Assumptions!$F$75,Assumptions!$F$76)*Assumptions!$F$72*Assumptions!$F$73/12*(1-Assumptions!$F$21)</f>
        <v>439.2</v>
      </c>
      <c r="M25" s="8" t="n">
        <f aca="false">CHOOSE(M$5,Assumptions!$F$74,Assumptions!$F$75,Assumptions!$F$76)*Assumptions!$F$72*Assumptions!$F$73/12*(1-Assumptions!$F$21)</f>
        <v>439.2</v>
      </c>
      <c r="N25" s="8" t="n">
        <f aca="false">CHOOSE(N$5,Assumptions!$F$74,Assumptions!$F$75,Assumptions!$F$76)*Assumptions!$F$72*Assumptions!$F$73/12*(1-Assumptions!$F$21)</f>
        <v>439.2</v>
      </c>
      <c r="O25" s="8" t="n">
        <f aca="false">CHOOSE(O$5,Assumptions!$F$74,Assumptions!$F$75,Assumptions!$F$76)*Assumptions!$F$72*Assumptions!$F$73/12*(1-Assumptions!$F$21)</f>
        <v>823.5</v>
      </c>
      <c r="P25" s="8" t="n">
        <f aca="false">CHOOSE(P$5,Assumptions!$F$74,Assumptions!$F$75,Assumptions!$F$76)*Assumptions!$F$72*Assumptions!$F$73/12*(1-Assumptions!$F$21)</f>
        <v>823.5</v>
      </c>
      <c r="Q25" s="8" t="n">
        <f aca="false">CHOOSE(Q$5,Assumptions!$F$74,Assumptions!$F$75,Assumptions!$F$76)*Assumptions!$F$72*Assumptions!$F$73/12*(1-Assumptions!$F$21)</f>
        <v>823.5</v>
      </c>
      <c r="R25" s="8" t="n">
        <f aca="false">CHOOSE(R$5,Assumptions!$F$74,Assumptions!$F$75,Assumptions!$F$76)*Assumptions!$F$72*Assumptions!$F$73/12*(1-Assumptions!$F$21)</f>
        <v>823.5</v>
      </c>
      <c r="S25" s="8" t="n">
        <f aca="false">CHOOSE(S$5,Assumptions!$F$74,Assumptions!$F$75,Assumptions!$F$76)*Assumptions!$F$72*Assumptions!$F$73/12*(1-Assumptions!$F$21)</f>
        <v>823.5</v>
      </c>
      <c r="T25" s="8" t="n">
        <f aca="false">CHOOSE(T$5,Assumptions!$F$74,Assumptions!$F$75,Assumptions!$F$76)*Assumptions!$F$72*Assumptions!$F$73/12*(1-Assumptions!$F$21)</f>
        <v>823.5</v>
      </c>
      <c r="U25" s="8" t="n">
        <f aca="false">CHOOSE(U$5,Assumptions!$F$74,Assumptions!$F$75,Assumptions!$F$76)*Assumptions!$F$72*Assumptions!$F$73/12*(1-Assumptions!$F$21)</f>
        <v>823.5</v>
      </c>
      <c r="V25" s="8" t="n">
        <f aca="false">CHOOSE(V$5,Assumptions!$F$74,Assumptions!$F$75,Assumptions!$F$76)*Assumptions!$F$72*Assumptions!$F$73/12*(1-Assumptions!$F$21)</f>
        <v>823.5</v>
      </c>
      <c r="W25" s="8" t="n">
        <f aca="false">CHOOSE(W$5,Assumptions!$F$74,Assumptions!$F$75,Assumptions!$F$76)*Assumptions!$F$72*Assumptions!$F$73/12*(1-Assumptions!$F$21)</f>
        <v>823.5</v>
      </c>
      <c r="X25" s="8" t="n">
        <f aca="false">CHOOSE(X$5,Assumptions!$F$74,Assumptions!$F$75,Assumptions!$F$76)*Assumptions!$F$72*Assumptions!$F$73/12*(1-Assumptions!$F$21)</f>
        <v>823.5</v>
      </c>
      <c r="Y25" s="8" t="n">
        <f aca="false">CHOOSE(Y$5,Assumptions!$F$74,Assumptions!$F$75,Assumptions!$F$76)*Assumptions!$F$72*Assumptions!$F$73/12*(1-Assumptions!$F$21)</f>
        <v>823.5</v>
      </c>
      <c r="Z25" s="8" t="n">
        <f aca="false">CHOOSE(Z$5,Assumptions!$F$74,Assumptions!$F$75,Assumptions!$F$76)*Assumptions!$F$72*Assumptions!$F$73/12*(1-Assumptions!$F$21)</f>
        <v>823.5</v>
      </c>
      <c r="AA25" s="8" t="n">
        <f aca="false">CHOOSE(AA$5,Assumptions!$F$74,Assumptions!$F$75,Assumptions!$F$76)*Assumptions!$F$72*Assumptions!$F$73/12*(1-Assumptions!$F$21)</f>
        <v>1098</v>
      </c>
      <c r="AB25" s="8" t="n">
        <f aca="false">CHOOSE(AB$5,Assumptions!$F$74,Assumptions!$F$75,Assumptions!$F$76)*Assumptions!$F$72*Assumptions!$F$73/12*(1-Assumptions!$F$21)</f>
        <v>1098</v>
      </c>
      <c r="AC25" s="8" t="n">
        <f aca="false">CHOOSE(AC$5,Assumptions!$F$74,Assumptions!$F$75,Assumptions!$F$76)*Assumptions!$F$72*Assumptions!$F$73/12*(1-Assumptions!$F$21)</f>
        <v>1098</v>
      </c>
      <c r="AD25" s="8" t="n">
        <f aca="false">CHOOSE(AD$5,Assumptions!$F$74,Assumptions!$F$75,Assumptions!$F$76)*Assumptions!$F$72*Assumptions!$F$73/12*(1-Assumptions!$F$21)</f>
        <v>1098</v>
      </c>
      <c r="AE25" s="8" t="n">
        <f aca="false">CHOOSE(AE$5,Assumptions!$F$74,Assumptions!$F$75,Assumptions!$F$76)*Assumptions!$F$72*Assumptions!$F$73/12*(1-Assumptions!$F$21)</f>
        <v>1098</v>
      </c>
      <c r="AF25" s="8" t="n">
        <f aca="false">CHOOSE(AF$5,Assumptions!$F$74,Assumptions!$F$75,Assumptions!$F$76)*Assumptions!$F$72*Assumptions!$F$73/12*(1-Assumptions!$F$21)</f>
        <v>1098</v>
      </c>
      <c r="AG25" s="8" t="n">
        <f aca="false">CHOOSE(AG$5,Assumptions!$F$74,Assumptions!$F$75,Assumptions!$F$76)*Assumptions!$F$72*Assumptions!$F$73/12*(1-Assumptions!$F$21)</f>
        <v>1098</v>
      </c>
      <c r="AH25" s="8" t="n">
        <f aca="false">CHOOSE(AH$5,Assumptions!$F$74,Assumptions!$F$75,Assumptions!$F$76)*Assumptions!$F$72*Assumptions!$F$73/12*(1-Assumptions!$F$21)</f>
        <v>1098</v>
      </c>
      <c r="AI25" s="8" t="n">
        <f aca="false">CHOOSE(AI$5,Assumptions!$F$74,Assumptions!$F$75,Assumptions!$F$76)*Assumptions!$F$72*Assumptions!$F$73/12*(1-Assumptions!$F$21)</f>
        <v>1098</v>
      </c>
      <c r="AJ25" s="8" t="n">
        <f aca="false">CHOOSE(AJ$5,Assumptions!$F$74,Assumptions!$F$75,Assumptions!$F$76)*Assumptions!$F$72*Assumptions!$F$73/12*(1-Assumptions!$F$21)</f>
        <v>1098</v>
      </c>
      <c r="AK25" s="8" t="n">
        <f aca="false">CHOOSE(AK$5,Assumptions!$F$74,Assumptions!$F$75,Assumptions!$F$76)*Assumptions!$F$72*Assumptions!$F$73/12*(1-Assumptions!$F$21)</f>
        <v>1098</v>
      </c>
      <c r="AL25" s="8" t="n">
        <f aca="false">CHOOSE(AL$5,Assumptions!$F$74,Assumptions!$F$75,Assumptions!$F$76)*Assumptions!$F$72*Assumptions!$F$73/12*(1-Assumptions!$F$21)</f>
        <v>1098</v>
      </c>
    </row>
    <row r="26" customFormat="false" ht="15" hidden="false" customHeight="false" outlineLevel="0" collapsed="false">
      <c r="B26" s="2" t="s">
        <v>262</v>
      </c>
      <c r="C26" s="8" t="n">
        <f aca="false">CHOOSE(C$5,Assumptions!$F$79,Assumptions!$F$80,Assumptions!$F$81)/12*(1-Assumptions!$F$21)</f>
        <v>305</v>
      </c>
      <c r="D26" s="8" t="n">
        <f aca="false">CHOOSE(D$5,Assumptions!$F$79,Assumptions!$F$80,Assumptions!$F$81)/12*(1-Assumptions!$F$21)</f>
        <v>305</v>
      </c>
      <c r="E26" s="8" t="n">
        <f aca="false">CHOOSE(E$5,Assumptions!$F$79,Assumptions!$F$80,Assumptions!$F$81)/12*(1-Assumptions!$F$21)</f>
        <v>305</v>
      </c>
      <c r="F26" s="8" t="n">
        <f aca="false">CHOOSE(F$5,Assumptions!$F$79,Assumptions!$F$80,Assumptions!$F$81)/12*(1-Assumptions!$F$21)</f>
        <v>305</v>
      </c>
      <c r="G26" s="8" t="n">
        <f aca="false">CHOOSE(G$5,Assumptions!$F$79,Assumptions!$F$80,Assumptions!$F$81)/12*(1-Assumptions!$F$21)</f>
        <v>305</v>
      </c>
      <c r="H26" s="8" t="n">
        <f aca="false">CHOOSE(H$5,Assumptions!$F$79,Assumptions!$F$80,Assumptions!$F$81)/12*(1-Assumptions!$F$21)</f>
        <v>305</v>
      </c>
      <c r="I26" s="8" t="n">
        <f aca="false">CHOOSE(I$5,Assumptions!$F$79,Assumptions!$F$80,Assumptions!$F$81)/12*(1-Assumptions!$F$21)</f>
        <v>305</v>
      </c>
      <c r="J26" s="8" t="n">
        <f aca="false">CHOOSE(J$5,Assumptions!$F$79,Assumptions!$F$80,Assumptions!$F$81)/12*(1-Assumptions!$F$21)</f>
        <v>305</v>
      </c>
      <c r="K26" s="8" t="n">
        <f aca="false">CHOOSE(K$5,Assumptions!$F$79,Assumptions!$F$80,Assumptions!$F$81)/12*(1-Assumptions!$F$21)</f>
        <v>305</v>
      </c>
      <c r="L26" s="8" t="n">
        <f aca="false">CHOOSE(L$5,Assumptions!$F$79,Assumptions!$F$80,Assumptions!$F$81)/12*(1-Assumptions!$F$21)</f>
        <v>305</v>
      </c>
      <c r="M26" s="8" t="n">
        <f aca="false">CHOOSE(M$5,Assumptions!$F$79,Assumptions!$F$80,Assumptions!$F$81)/12*(1-Assumptions!$F$21)</f>
        <v>305</v>
      </c>
      <c r="N26" s="8" t="n">
        <f aca="false">CHOOSE(N$5,Assumptions!$F$79,Assumptions!$F$80,Assumptions!$F$81)/12*(1-Assumptions!$F$21)</f>
        <v>305</v>
      </c>
      <c r="O26" s="8" t="n">
        <f aca="false">CHOOSE(O$5,Assumptions!$F$79,Assumptions!$F$80,Assumptions!$F$81)/12*(1-Assumptions!$F$21)</f>
        <v>457.5</v>
      </c>
      <c r="P26" s="8" t="n">
        <f aca="false">CHOOSE(P$5,Assumptions!$F$79,Assumptions!$F$80,Assumptions!$F$81)/12*(1-Assumptions!$F$21)</f>
        <v>457.5</v>
      </c>
      <c r="Q26" s="8" t="n">
        <f aca="false">CHOOSE(Q$5,Assumptions!$F$79,Assumptions!$F$80,Assumptions!$F$81)/12*(1-Assumptions!$F$21)</f>
        <v>457.5</v>
      </c>
      <c r="R26" s="8" t="n">
        <f aca="false">CHOOSE(R$5,Assumptions!$F$79,Assumptions!$F$80,Assumptions!$F$81)/12*(1-Assumptions!$F$21)</f>
        <v>457.5</v>
      </c>
      <c r="S26" s="8" t="n">
        <f aca="false">CHOOSE(S$5,Assumptions!$F$79,Assumptions!$F$80,Assumptions!$F$81)/12*(1-Assumptions!$F$21)</f>
        <v>457.5</v>
      </c>
      <c r="T26" s="8" t="n">
        <f aca="false">CHOOSE(T$5,Assumptions!$F$79,Assumptions!$F$80,Assumptions!$F$81)/12*(1-Assumptions!$F$21)</f>
        <v>457.5</v>
      </c>
      <c r="U26" s="8" t="n">
        <f aca="false">CHOOSE(U$5,Assumptions!$F$79,Assumptions!$F$80,Assumptions!$F$81)/12*(1-Assumptions!$F$21)</f>
        <v>457.5</v>
      </c>
      <c r="V26" s="8" t="n">
        <f aca="false">CHOOSE(V$5,Assumptions!$F$79,Assumptions!$F$80,Assumptions!$F$81)/12*(1-Assumptions!$F$21)</f>
        <v>457.5</v>
      </c>
      <c r="W26" s="8" t="n">
        <f aca="false">CHOOSE(W$5,Assumptions!$F$79,Assumptions!$F$80,Assumptions!$F$81)/12*(1-Assumptions!$F$21)</f>
        <v>457.5</v>
      </c>
      <c r="X26" s="8" t="n">
        <f aca="false">CHOOSE(X$5,Assumptions!$F$79,Assumptions!$F$80,Assumptions!$F$81)/12*(1-Assumptions!$F$21)</f>
        <v>457.5</v>
      </c>
      <c r="Y26" s="8" t="n">
        <f aca="false">CHOOSE(Y$5,Assumptions!$F$79,Assumptions!$F$80,Assumptions!$F$81)/12*(1-Assumptions!$F$21)</f>
        <v>457.5</v>
      </c>
      <c r="Z26" s="8" t="n">
        <f aca="false">CHOOSE(Z$5,Assumptions!$F$79,Assumptions!$F$80,Assumptions!$F$81)/12*(1-Assumptions!$F$21)</f>
        <v>457.5</v>
      </c>
      <c r="AA26" s="8" t="n">
        <f aca="false">CHOOSE(AA$5,Assumptions!$F$79,Assumptions!$F$80,Assumptions!$F$81)/12*(1-Assumptions!$F$21)</f>
        <v>610</v>
      </c>
      <c r="AB26" s="8" t="n">
        <f aca="false">CHOOSE(AB$5,Assumptions!$F$79,Assumptions!$F$80,Assumptions!$F$81)/12*(1-Assumptions!$F$21)</f>
        <v>610</v>
      </c>
      <c r="AC26" s="8" t="n">
        <f aca="false">CHOOSE(AC$5,Assumptions!$F$79,Assumptions!$F$80,Assumptions!$F$81)/12*(1-Assumptions!$F$21)</f>
        <v>610</v>
      </c>
      <c r="AD26" s="8" t="n">
        <f aca="false">CHOOSE(AD$5,Assumptions!$F$79,Assumptions!$F$80,Assumptions!$F$81)/12*(1-Assumptions!$F$21)</f>
        <v>610</v>
      </c>
      <c r="AE26" s="8" t="n">
        <f aca="false">CHOOSE(AE$5,Assumptions!$F$79,Assumptions!$F$80,Assumptions!$F$81)/12*(1-Assumptions!$F$21)</f>
        <v>610</v>
      </c>
      <c r="AF26" s="8" t="n">
        <f aca="false">CHOOSE(AF$5,Assumptions!$F$79,Assumptions!$F$80,Assumptions!$F$81)/12*(1-Assumptions!$F$21)</f>
        <v>610</v>
      </c>
      <c r="AG26" s="8" t="n">
        <f aca="false">CHOOSE(AG$5,Assumptions!$F$79,Assumptions!$F$80,Assumptions!$F$81)/12*(1-Assumptions!$F$21)</f>
        <v>610</v>
      </c>
      <c r="AH26" s="8" t="n">
        <f aca="false">CHOOSE(AH$5,Assumptions!$F$79,Assumptions!$F$80,Assumptions!$F$81)/12*(1-Assumptions!$F$21)</f>
        <v>610</v>
      </c>
      <c r="AI26" s="8" t="n">
        <f aca="false">CHOOSE(AI$5,Assumptions!$F$79,Assumptions!$F$80,Assumptions!$F$81)/12*(1-Assumptions!$F$21)</f>
        <v>610</v>
      </c>
      <c r="AJ26" s="8" t="n">
        <f aca="false">CHOOSE(AJ$5,Assumptions!$F$79,Assumptions!$F$80,Assumptions!$F$81)/12*(1-Assumptions!$F$21)</f>
        <v>610</v>
      </c>
      <c r="AK26" s="8" t="n">
        <f aca="false">CHOOSE(AK$5,Assumptions!$F$79,Assumptions!$F$80,Assumptions!$F$81)/12*(1-Assumptions!$F$21)</f>
        <v>610</v>
      </c>
      <c r="AL26" s="8" t="n">
        <f aca="false">CHOOSE(AL$5,Assumptions!$F$79,Assumptions!$F$80,Assumptions!$F$81)/12*(1-Assumptions!$F$21)</f>
        <v>610</v>
      </c>
    </row>
    <row r="27" customFormat="false" ht="15" hidden="false" customHeight="false" outlineLevel="0" collapsed="false">
      <c r="B27" s="2" t="s">
        <v>263</v>
      </c>
      <c r="C27" s="8" t="n">
        <f aca="false">CHOOSE(C$5,Assumptions!$F$82,Assumptions!$F$83,Assumptions!$F$84)/12*(1-Assumptions!$F$21)</f>
        <v>76.25</v>
      </c>
      <c r="D27" s="8" t="n">
        <f aca="false">CHOOSE(D$5,Assumptions!$F$82,Assumptions!$F$83,Assumptions!$F$84)/12*(1-Assumptions!$F$21)</f>
        <v>76.25</v>
      </c>
      <c r="E27" s="8" t="n">
        <f aca="false">CHOOSE(E$5,Assumptions!$F$82,Assumptions!$F$83,Assumptions!$F$84)/12*(1-Assumptions!$F$21)</f>
        <v>76.25</v>
      </c>
      <c r="F27" s="8" t="n">
        <f aca="false">CHOOSE(F$5,Assumptions!$F$82,Assumptions!$F$83,Assumptions!$F$84)/12*(1-Assumptions!$F$21)</f>
        <v>76.25</v>
      </c>
      <c r="G27" s="8" t="n">
        <f aca="false">CHOOSE(G$5,Assumptions!$F$82,Assumptions!$F$83,Assumptions!$F$84)/12*(1-Assumptions!$F$21)</f>
        <v>76.25</v>
      </c>
      <c r="H27" s="8" t="n">
        <f aca="false">CHOOSE(H$5,Assumptions!$F$82,Assumptions!$F$83,Assumptions!$F$84)/12*(1-Assumptions!$F$21)</f>
        <v>76.25</v>
      </c>
      <c r="I27" s="8" t="n">
        <f aca="false">CHOOSE(I$5,Assumptions!$F$82,Assumptions!$F$83,Assumptions!$F$84)/12*(1-Assumptions!$F$21)</f>
        <v>76.25</v>
      </c>
      <c r="J27" s="8" t="n">
        <f aca="false">CHOOSE(J$5,Assumptions!$F$82,Assumptions!$F$83,Assumptions!$F$84)/12*(1-Assumptions!$F$21)</f>
        <v>76.25</v>
      </c>
      <c r="K27" s="8" t="n">
        <f aca="false">CHOOSE(K$5,Assumptions!$F$82,Assumptions!$F$83,Assumptions!$F$84)/12*(1-Assumptions!$F$21)</f>
        <v>76.25</v>
      </c>
      <c r="L27" s="8" t="n">
        <f aca="false">CHOOSE(L$5,Assumptions!$F$82,Assumptions!$F$83,Assumptions!$F$84)/12*(1-Assumptions!$F$21)</f>
        <v>76.25</v>
      </c>
      <c r="M27" s="8" t="n">
        <f aca="false">CHOOSE(M$5,Assumptions!$F$82,Assumptions!$F$83,Assumptions!$F$84)/12*(1-Assumptions!$F$21)</f>
        <v>76.25</v>
      </c>
      <c r="N27" s="8" t="n">
        <f aca="false">CHOOSE(N$5,Assumptions!$F$82,Assumptions!$F$83,Assumptions!$F$84)/12*(1-Assumptions!$F$21)</f>
        <v>76.25</v>
      </c>
      <c r="O27" s="8" t="n">
        <f aca="false">CHOOSE(O$5,Assumptions!$F$82,Assumptions!$F$83,Assumptions!$F$84)/12*(1-Assumptions!$F$21)</f>
        <v>228.75</v>
      </c>
      <c r="P27" s="8" t="n">
        <f aca="false">CHOOSE(P$5,Assumptions!$F$82,Assumptions!$F$83,Assumptions!$F$84)/12*(1-Assumptions!$F$21)</f>
        <v>228.75</v>
      </c>
      <c r="Q27" s="8" t="n">
        <f aca="false">CHOOSE(Q$5,Assumptions!$F$82,Assumptions!$F$83,Assumptions!$F$84)/12*(1-Assumptions!$F$21)</f>
        <v>228.75</v>
      </c>
      <c r="R27" s="8" t="n">
        <f aca="false">CHOOSE(R$5,Assumptions!$F$82,Assumptions!$F$83,Assumptions!$F$84)/12*(1-Assumptions!$F$21)</f>
        <v>228.75</v>
      </c>
      <c r="S27" s="8" t="n">
        <f aca="false">CHOOSE(S$5,Assumptions!$F$82,Assumptions!$F$83,Assumptions!$F$84)/12*(1-Assumptions!$F$21)</f>
        <v>228.75</v>
      </c>
      <c r="T27" s="8" t="n">
        <f aca="false">CHOOSE(T$5,Assumptions!$F$82,Assumptions!$F$83,Assumptions!$F$84)/12*(1-Assumptions!$F$21)</f>
        <v>228.75</v>
      </c>
      <c r="U27" s="8" t="n">
        <f aca="false">CHOOSE(U$5,Assumptions!$F$82,Assumptions!$F$83,Assumptions!$F$84)/12*(1-Assumptions!$F$21)</f>
        <v>228.75</v>
      </c>
      <c r="V27" s="8" t="n">
        <f aca="false">CHOOSE(V$5,Assumptions!$F$82,Assumptions!$F$83,Assumptions!$F$84)/12*(1-Assumptions!$F$21)</f>
        <v>228.75</v>
      </c>
      <c r="W27" s="8" t="n">
        <f aca="false">CHOOSE(W$5,Assumptions!$F$82,Assumptions!$F$83,Assumptions!$F$84)/12*(1-Assumptions!$F$21)</f>
        <v>228.75</v>
      </c>
      <c r="X27" s="8" t="n">
        <f aca="false">CHOOSE(X$5,Assumptions!$F$82,Assumptions!$F$83,Assumptions!$F$84)/12*(1-Assumptions!$F$21)</f>
        <v>228.75</v>
      </c>
      <c r="Y27" s="8" t="n">
        <f aca="false">CHOOSE(Y$5,Assumptions!$F$82,Assumptions!$F$83,Assumptions!$F$84)/12*(1-Assumptions!$F$21)</f>
        <v>228.75</v>
      </c>
      <c r="Z27" s="8" t="n">
        <f aca="false">CHOOSE(Z$5,Assumptions!$F$82,Assumptions!$F$83,Assumptions!$F$84)/12*(1-Assumptions!$F$21)</f>
        <v>228.75</v>
      </c>
      <c r="AA27" s="8" t="n">
        <f aca="false">CHOOSE(AA$5,Assumptions!$F$82,Assumptions!$F$83,Assumptions!$F$84)/12*(1-Assumptions!$F$21)</f>
        <v>381.25</v>
      </c>
      <c r="AB27" s="8" t="n">
        <f aca="false">CHOOSE(AB$5,Assumptions!$F$82,Assumptions!$F$83,Assumptions!$F$84)/12*(1-Assumptions!$F$21)</f>
        <v>381.25</v>
      </c>
      <c r="AC27" s="8" t="n">
        <f aca="false">CHOOSE(AC$5,Assumptions!$F$82,Assumptions!$F$83,Assumptions!$F$84)/12*(1-Assumptions!$F$21)</f>
        <v>381.25</v>
      </c>
      <c r="AD27" s="8" t="n">
        <f aca="false">CHOOSE(AD$5,Assumptions!$F$82,Assumptions!$F$83,Assumptions!$F$84)/12*(1-Assumptions!$F$21)</f>
        <v>381.25</v>
      </c>
      <c r="AE27" s="8" t="n">
        <f aca="false">CHOOSE(AE$5,Assumptions!$F$82,Assumptions!$F$83,Assumptions!$F$84)/12*(1-Assumptions!$F$21)</f>
        <v>381.25</v>
      </c>
      <c r="AF27" s="8" t="n">
        <f aca="false">CHOOSE(AF$5,Assumptions!$F$82,Assumptions!$F$83,Assumptions!$F$84)/12*(1-Assumptions!$F$21)</f>
        <v>381.25</v>
      </c>
      <c r="AG27" s="8" t="n">
        <f aca="false">CHOOSE(AG$5,Assumptions!$F$82,Assumptions!$F$83,Assumptions!$F$84)/12*(1-Assumptions!$F$21)</f>
        <v>381.25</v>
      </c>
      <c r="AH27" s="8" t="n">
        <f aca="false">CHOOSE(AH$5,Assumptions!$F$82,Assumptions!$F$83,Assumptions!$F$84)/12*(1-Assumptions!$F$21)</f>
        <v>381.25</v>
      </c>
      <c r="AI27" s="8" t="n">
        <f aca="false">CHOOSE(AI$5,Assumptions!$F$82,Assumptions!$F$83,Assumptions!$F$84)/12*(1-Assumptions!$F$21)</f>
        <v>381.25</v>
      </c>
      <c r="AJ27" s="8" t="n">
        <f aca="false">CHOOSE(AJ$5,Assumptions!$F$82,Assumptions!$F$83,Assumptions!$F$84)/12*(1-Assumptions!$F$21)</f>
        <v>381.25</v>
      </c>
      <c r="AK27" s="8" t="n">
        <f aca="false">CHOOSE(AK$5,Assumptions!$F$82,Assumptions!$F$83,Assumptions!$F$84)/12*(1-Assumptions!$F$21)</f>
        <v>381.25</v>
      </c>
      <c r="AL27" s="8" t="n">
        <f aca="false">CHOOSE(AL$5,Assumptions!$F$82,Assumptions!$F$83,Assumptions!$F$84)/12*(1-Assumptions!$F$21)</f>
        <v>381.25</v>
      </c>
    </row>
    <row r="28" customFormat="false" ht="15" hidden="false" customHeight="false" outlineLevel="0" collapsed="false">
      <c r="B28" s="2" t="s">
        <v>264</v>
      </c>
      <c r="C28" s="8" t="n">
        <f aca="false">Assumptions!$F$86*Assumptions!$F$20/12*Assumptions!$F$28*CHOOSE(C$5,Assumptions!$F$87,Assumptions!$F$88,Assumptions!$F$89)</f>
        <v>0</v>
      </c>
      <c r="D28" s="8" t="n">
        <f aca="false">Assumptions!$F$86*Assumptions!$F$20/12*Assumptions!$F$28*CHOOSE(D$5,Assumptions!$F$87,Assumptions!$F$88,Assumptions!$F$89)</f>
        <v>0</v>
      </c>
      <c r="E28" s="8" t="n">
        <f aca="false">Assumptions!$F$86*Assumptions!$F$20/12*Assumptions!$F$28*CHOOSE(E$5,Assumptions!$F$87,Assumptions!$F$88,Assumptions!$F$89)</f>
        <v>0</v>
      </c>
      <c r="F28" s="8" t="n">
        <f aca="false">Assumptions!$F$86*Assumptions!$F$20/12*Assumptions!$F$28*CHOOSE(F$5,Assumptions!$F$87,Assumptions!$F$88,Assumptions!$F$89)</f>
        <v>0</v>
      </c>
      <c r="G28" s="8" t="n">
        <f aca="false">Assumptions!$F$86*Assumptions!$F$20/12*Assumptions!$F$28*CHOOSE(G$5,Assumptions!$F$87,Assumptions!$F$88,Assumptions!$F$89)</f>
        <v>0</v>
      </c>
      <c r="H28" s="8" t="n">
        <f aca="false">Assumptions!$F$86*Assumptions!$F$20/12*Assumptions!$F$28*CHOOSE(H$5,Assumptions!$F$87,Assumptions!$F$88,Assumptions!$F$89)</f>
        <v>0</v>
      </c>
      <c r="I28" s="8" t="n">
        <f aca="false">Assumptions!$F$86*Assumptions!$F$20/12*Assumptions!$F$28*CHOOSE(I$5,Assumptions!$F$87,Assumptions!$F$88,Assumptions!$F$89)</f>
        <v>0</v>
      </c>
      <c r="J28" s="8" t="n">
        <f aca="false">Assumptions!$F$86*Assumptions!$F$20/12*Assumptions!$F$28*CHOOSE(J$5,Assumptions!$F$87,Assumptions!$F$88,Assumptions!$F$89)</f>
        <v>0</v>
      </c>
      <c r="K28" s="8" t="n">
        <f aca="false">Assumptions!$F$86*Assumptions!$F$20/12*Assumptions!$F$28*CHOOSE(K$5,Assumptions!$F$87,Assumptions!$F$88,Assumptions!$F$89)</f>
        <v>0</v>
      </c>
      <c r="L28" s="8" t="n">
        <f aca="false">Assumptions!$F$86*Assumptions!$F$20/12*Assumptions!$F$28*CHOOSE(L$5,Assumptions!$F$87,Assumptions!$F$88,Assumptions!$F$89)</f>
        <v>0</v>
      </c>
      <c r="M28" s="8" t="n">
        <f aca="false">Assumptions!$F$86*Assumptions!$F$20/12*Assumptions!$F$28*CHOOSE(M$5,Assumptions!$F$87,Assumptions!$F$88,Assumptions!$F$89)</f>
        <v>0</v>
      </c>
      <c r="N28" s="8" t="n">
        <f aca="false">Assumptions!$F$86*Assumptions!$F$20/12*Assumptions!$F$28*CHOOSE(N$5,Assumptions!$F$87,Assumptions!$F$88,Assumptions!$F$89)</f>
        <v>0</v>
      </c>
      <c r="O28" s="8" t="n">
        <f aca="false">Assumptions!$F$86*Assumptions!$F$20/12*Assumptions!$F$28*CHOOSE(O$5,Assumptions!$F$87,Assumptions!$F$88,Assumptions!$F$89)</f>
        <v>536.25</v>
      </c>
      <c r="P28" s="8" t="n">
        <f aca="false">Assumptions!$F$86*Assumptions!$F$20/12*Assumptions!$F$28*CHOOSE(P$5,Assumptions!$F$87,Assumptions!$F$88,Assumptions!$F$89)</f>
        <v>536.25</v>
      </c>
      <c r="Q28" s="8" t="n">
        <f aca="false">Assumptions!$F$86*Assumptions!$F$20/12*Assumptions!$F$28*CHOOSE(Q$5,Assumptions!$F$87,Assumptions!$F$88,Assumptions!$F$89)</f>
        <v>536.25</v>
      </c>
      <c r="R28" s="8" t="n">
        <f aca="false">Assumptions!$F$86*Assumptions!$F$20/12*Assumptions!$F$28*CHOOSE(R$5,Assumptions!$F$87,Assumptions!$F$88,Assumptions!$F$89)</f>
        <v>536.25</v>
      </c>
      <c r="S28" s="8" t="n">
        <f aca="false">Assumptions!$F$86*Assumptions!$F$20/12*Assumptions!$F$28*CHOOSE(S$5,Assumptions!$F$87,Assumptions!$F$88,Assumptions!$F$89)</f>
        <v>536.25</v>
      </c>
      <c r="T28" s="8" t="n">
        <f aca="false">Assumptions!$F$86*Assumptions!$F$20/12*Assumptions!$F$28*CHOOSE(T$5,Assumptions!$F$87,Assumptions!$F$88,Assumptions!$F$89)</f>
        <v>536.25</v>
      </c>
      <c r="U28" s="8" t="n">
        <f aca="false">Assumptions!$F$86*Assumptions!$F$20/12*Assumptions!$F$28*CHOOSE(U$5,Assumptions!$F$87,Assumptions!$F$88,Assumptions!$F$89)</f>
        <v>536.25</v>
      </c>
      <c r="V28" s="8" t="n">
        <f aca="false">Assumptions!$F$86*Assumptions!$F$20/12*Assumptions!$F$28*CHOOSE(V$5,Assumptions!$F$87,Assumptions!$F$88,Assumptions!$F$89)</f>
        <v>536.25</v>
      </c>
      <c r="W28" s="8" t="n">
        <f aca="false">Assumptions!$F$86*Assumptions!$F$20/12*Assumptions!$F$28*CHOOSE(W$5,Assumptions!$F$87,Assumptions!$F$88,Assumptions!$F$89)</f>
        <v>536.25</v>
      </c>
      <c r="X28" s="8" t="n">
        <f aca="false">Assumptions!$F$86*Assumptions!$F$20/12*Assumptions!$F$28*CHOOSE(X$5,Assumptions!$F$87,Assumptions!$F$88,Assumptions!$F$89)</f>
        <v>536.25</v>
      </c>
      <c r="Y28" s="8" t="n">
        <f aca="false">Assumptions!$F$86*Assumptions!$F$20/12*Assumptions!$F$28*CHOOSE(Y$5,Assumptions!$F$87,Assumptions!$F$88,Assumptions!$F$89)</f>
        <v>536.25</v>
      </c>
      <c r="Z28" s="8" t="n">
        <f aca="false">Assumptions!$F$86*Assumptions!$F$20/12*Assumptions!$F$28*CHOOSE(Z$5,Assumptions!$F$87,Assumptions!$F$88,Assumptions!$F$89)</f>
        <v>536.25</v>
      </c>
      <c r="AA28" s="8" t="n">
        <f aca="false">Assumptions!$F$86*Assumptions!$F$20/12*Assumptions!$F$28*CHOOSE(AA$5,Assumptions!$F$87,Assumptions!$F$88,Assumptions!$F$89)</f>
        <v>715</v>
      </c>
      <c r="AB28" s="8" t="n">
        <f aca="false">Assumptions!$F$86*Assumptions!$F$20/12*Assumptions!$F$28*CHOOSE(AB$5,Assumptions!$F$87,Assumptions!$F$88,Assumptions!$F$89)</f>
        <v>715</v>
      </c>
      <c r="AC28" s="8" t="n">
        <f aca="false">Assumptions!$F$86*Assumptions!$F$20/12*Assumptions!$F$28*CHOOSE(AC$5,Assumptions!$F$87,Assumptions!$F$88,Assumptions!$F$89)</f>
        <v>715</v>
      </c>
      <c r="AD28" s="8" t="n">
        <f aca="false">Assumptions!$F$86*Assumptions!$F$20/12*Assumptions!$F$28*CHOOSE(AD$5,Assumptions!$F$87,Assumptions!$F$88,Assumptions!$F$89)</f>
        <v>715</v>
      </c>
      <c r="AE28" s="8" t="n">
        <f aca="false">Assumptions!$F$86*Assumptions!$F$20/12*Assumptions!$F$28*CHOOSE(AE$5,Assumptions!$F$87,Assumptions!$F$88,Assumptions!$F$89)</f>
        <v>715</v>
      </c>
      <c r="AF28" s="8" t="n">
        <f aca="false">Assumptions!$F$86*Assumptions!$F$20/12*Assumptions!$F$28*CHOOSE(AF$5,Assumptions!$F$87,Assumptions!$F$88,Assumptions!$F$89)</f>
        <v>715</v>
      </c>
      <c r="AG28" s="8" t="n">
        <f aca="false">Assumptions!$F$86*Assumptions!$F$20/12*Assumptions!$F$28*CHOOSE(AG$5,Assumptions!$F$87,Assumptions!$F$88,Assumptions!$F$89)</f>
        <v>715</v>
      </c>
      <c r="AH28" s="8" t="n">
        <f aca="false">Assumptions!$F$86*Assumptions!$F$20/12*Assumptions!$F$28*CHOOSE(AH$5,Assumptions!$F$87,Assumptions!$F$88,Assumptions!$F$89)</f>
        <v>715</v>
      </c>
      <c r="AI28" s="8" t="n">
        <f aca="false">Assumptions!$F$86*Assumptions!$F$20/12*Assumptions!$F$28*CHOOSE(AI$5,Assumptions!$F$87,Assumptions!$F$88,Assumptions!$F$89)</f>
        <v>715</v>
      </c>
      <c r="AJ28" s="8" t="n">
        <f aca="false">Assumptions!$F$86*Assumptions!$F$20/12*Assumptions!$F$28*CHOOSE(AJ$5,Assumptions!$F$87,Assumptions!$F$88,Assumptions!$F$89)</f>
        <v>715</v>
      </c>
      <c r="AK28" s="8" t="n">
        <f aca="false">Assumptions!$F$86*Assumptions!$F$20/12*Assumptions!$F$28*CHOOSE(AK$5,Assumptions!$F$87,Assumptions!$F$88,Assumptions!$F$89)</f>
        <v>715</v>
      </c>
      <c r="AL28" s="8" t="n">
        <f aca="false">Assumptions!$F$86*Assumptions!$F$20/12*Assumptions!$F$28*CHOOSE(AL$5,Assumptions!$F$87,Assumptions!$F$88,Assumptions!$F$89)</f>
        <v>715</v>
      </c>
    </row>
    <row r="29" customFormat="false" ht="15" hidden="false" customHeight="false" outlineLevel="0" collapsed="false">
      <c r="B29" s="9" t="s">
        <v>26</v>
      </c>
      <c r="C29" s="10" t="n">
        <f aca="false">SUM(C16:C28)</f>
        <v>8554.03</v>
      </c>
      <c r="D29" s="10" t="n">
        <f aca="false">SUM(D16:D28)</f>
        <v>10892.54125</v>
      </c>
      <c r="E29" s="10" t="n">
        <f aca="false">SUM(E16:E28)</f>
        <v>9388.0525</v>
      </c>
      <c r="F29" s="10" t="n">
        <f aca="false">SUM(F16:F28)</f>
        <v>15148.06375</v>
      </c>
      <c r="G29" s="10" t="n">
        <f aca="false">SUM(G16:G28)</f>
        <v>10222.075</v>
      </c>
      <c r="H29" s="10" t="n">
        <f aca="false">SUM(H16:H28)</f>
        <v>12560.58625</v>
      </c>
      <c r="I29" s="10" t="n">
        <f aca="false">SUM(I16:I28)</f>
        <v>11056.0975</v>
      </c>
      <c r="J29" s="10" t="n">
        <f aca="false">SUM(J16:J28)</f>
        <v>16816.10875</v>
      </c>
      <c r="K29" s="10" t="n">
        <f aca="false">SUM(K16:K28)</f>
        <v>13811.62</v>
      </c>
      <c r="L29" s="10" t="n">
        <f aca="false">SUM(L16:L28)</f>
        <v>12307.13125</v>
      </c>
      <c r="M29" s="10" t="n">
        <f aca="false">SUM(M16:M28)</f>
        <v>18067.1425</v>
      </c>
      <c r="N29" s="10" t="n">
        <f aca="false">SUM(N16:N28)</f>
        <v>25327.15375</v>
      </c>
      <c r="O29" s="10" t="n">
        <f aca="false">SUM(O16:O28)</f>
        <v>16242.835</v>
      </c>
      <c r="P29" s="10" t="n">
        <f aca="false">SUM(P16:P28)</f>
        <v>20625.494375</v>
      </c>
      <c r="Q29" s="10" t="n">
        <f aca="false">SUM(Q16:Q28)</f>
        <v>16937.85375</v>
      </c>
      <c r="R29" s="10" t="n">
        <f aca="false">SUM(R16:R28)</f>
        <v>27355.663125</v>
      </c>
      <c r="S29" s="10" t="n">
        <f aca="false">SUM(S16:S28)</f>
        <v>17632.8725</v>
      </c>
      <c r="T29" s="10" t="n">
        <f aca="false">SUM(T16:T28)</f>
        <v>22015.531875</v>
      </c>
      <c r="U29" s="10" t="n">
        <f aca="false">SUM(U16:U28)</f>
        <v>18327.89125</v>
      </c>
      <c r="V29" s="10" t="n">
        <f aca="false">SUM(V16:V28)</f>
        <v>28745.700625</v>
      </c>
      <c r="W29" s="10" t="n">
        <f aca="false">SUM(W16:W28)</f>
        <v>23058.06</v>
      </c>
      <c r="X29" s="10" t="n">
        <f aca="false">SUM(X16:X28)</f>
        <v>19370.419375</v>
      </c>
      <c r="Y29" s="10" t="n">
        <f aca="false">SUM(Y16:Y28)</f>
        <v>29788.22875</v>
      </c>
      <c r="Z29" s="10" t="n">
        <f aca="false">SUM(Z16:Z28)</f>
        <v>42206.038125</v>
      </c>
      <c r="AA29" s="10" t="n">
        <f aca="false">SUM(AA16:AA28)</f>
        <v>22630.3175</v>
      </c>
      <c r="AB29" s="10" t="n">
        <f aca="false">SUM(AB16:AB28)</f>
        <v>28672.825</v>
      </c>
      <c r="AC29" s="10" t="n">
        <f aca="false">SUM(AC16:AC28)</f>
        <v>23186.3325</v>
      </c>
      <c r="AD29" s="10" t="n">
        <f aca="false">SUM(AD16:AD28)</f>
        <v>37493.34</v>
      </c>
      <c r="AE29" s="10" t="n">
        <f aca="false">SUM(AE16:AE28)</f>
        <v>23742.3475</v>
      </c>
      <c r="AF29" s="10" t="n">
        <f aca="false">SUM(AF16:AF28)</f>
        <v>29784.855</v>
      </c>
      <c r="AG29" s="10" t="n">
        <f aca="false">SUM(AG16:AG28)</f>
        <v>24298.3625</v>
      </c>
      <c r="AH29" s="10" t="n">
        <f aca="false">SUM(AH16:AH28)</f>
        <v>38605.37</v>
      </c>
      <c r="AI29" s="10" t="n">
        <f aca="false">SUM(AI16:AI28)</f>
        <v>30618.8775</v>
      </c>
      <c r="AJ29" s="10" t="n">
        <f aca="false">SUM(AJ16:AJ28)</f>
        <v>25132.385</v>
      </c>
      <c r="AK29" s="10" t="n">
        <f aca="false">SUM(AK16:AK28)</f>
        <v>39439.3925</v>
      </c>
      <c r="AL29" s="10" t="n">
        <f aca="false">SUM(AL16:AL28)</f>
        <v>56246.4</v>
      </c>
    </row>
    <row r="31" customFormat="false" ht="15" hidden="false" customHeight="false" outlineLevel="0" collapsed="false">
      <c r="B31" s="15" t="s">
        <v>265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customFormat="false" ht="15" hidden="false" customHeight="false" outlineLevel="0" collapsed="false">
      <c r="B32" s="2" t="s">
        <v>266</v>
      </c>
      <c r="C32" s="8" t="n">
        <f aca="false">C13*Assumptions!$F$20/12*Assumptions!$F$28</f>
        <v>1608.75</v>
      </c>
      <c r="D32" s="8" t="n">
        <f aca="false">D13*Assumptions!$F$20/12*Assumptions!$F$28</f>
        <v>1787.5</v>
      </c>
      <c r="E32" s="8" t="n">
        <f aca="false">E13*Assumptions!$F$20/12*Assumptions!$F$28</f>
        <v>1966.25</v>
      </c>
      <c r="F32" s="8" t="n">
        <f aca="false">F13*Assumptions!$F$20/12*Assumptions!$F$28</f>
        <v>1966.25</v>
      </c>
      <c r="G32" s="8" t="n">
        <f aca="false">G13*Assumptions!$F$20/12*Assumptions!$F$28</f>
        <v>2145</v>
      </c>
      <c r="H32" s="8" t="n">
        <f aca="false">H13*Assumptions!$F$20/12*Assumptions!$F$28</f>
        <v>2323.75</v>
      </c>
      <c r="I32" s="8" t="n">
        <f aca="false">I13*Assumptions!$F$20/12*Assumptions!$F$28</f>
        <v>2502.5</v>
      </c>
      <c r="J32" s="8" t="n">
        <f aca="false">J13*Assumptions!$F$20/12*Assumptions!$F$28</f>
        <v>2681.25</v>
      </c>
      <c r="K32" s="8" t="n">
        <f aca="false">K13*Assumptions!$F$20/12*Assumptions!$F$28</f>
        <v>2681.25</v>
      </c>
      <c r="L32" s="8" t="n">
        <f aca="false">L13*Assumptions!$F$20/12*Assumptions!$F$28</f>
        <v>2860</v>
      </c>
      <c r="M32" s="8" t="n">
        <f aca="false">M13*Assumptions!$F$20/12*Assumptions!$F$28</f>
        <v>3038.75</v>
      </c>
      <c r="N32" s="8" t="n">
        <f aca="false">N13*Assumptions!$F$20/12*Assumptions!$F$28</f>
        <v>3217.5</v>
      </c>
      <c r="O32" s="8" t="n">
        <f aca="false">O13*Assumptions!$F$20/12*Assumptions!$F$28</f>
        <v>3217.5</v>
      </c>
      <c r="P32" s="8" t="n">
        <f aca="false">P13*Assumptions!$F$20/12*Assumptions!$F$28</f>
        <v>3396.25</v>
      </c>
      <c r="Q32" s="8" t="n">
        <f aca="false">Q13*Assumptions!$F$20/12*Assumptions!$F$28</f>
        <v>3575</v>
      </c>
      <c r="R32" s="8" t="n">
        <f aca="false">R13*Assumptions!$F$20/12*Assumptions!$F$28</f>
        <v>3575</v>
      </c>
      <c r="S32" s="8" t="n">
        <f aca="false">S13*Assumptions!$F$20/12*Assumptions!$F$28</f>
        <v>3753.75</v>
      </c>
      <c r="T32" s="8" t="n">
        <f aca="false">T13*Assumptions!$F$20/12*Assumptions!$F$28</f>
        <v>3932.5</v>
      </c>
      <c r="U32" s="8" t="n">
        <f aca="false">U13*Assumptions!$F$20/12*Assumptions!$F$28</f>
        <v>3932.5</v>
      </c>
      <c r="V32" s="8" t="n">
        <f aca="false">V13*Assumptions!$F$20/12*Assumptions!$F$28</f>
        <v>4111.25</v>
      </c>
      <c r="W32" s="8" t="n">
        <f aca="false">W13*Assumptions!$F$20/12*Assumptions!$F$28</f>
        <v>4290</v>
      </c>
      <c r="X32" s="8" t="n">
        <f aca="false">X13*Assumptions!$F$20/12*Assumptions!$F$28</f>
        <v>4290</v>
      </c>
      <c r="Y32" s="8" t="n">
        <f aca="false">Y13*Assumptions!$F$20/12*Assumptions!$F$28</f>
        <v>4468.75</v>
      </c>
      <c r="Z32" s="8" t="n">
        <f aca="false">Z13*Assumptions!$F$20/12*Assumptions!$F$28</f>
        <v>4647.5</v>
      </c>
      <c r="AA32" s="8" t="n">
        <f aca="false">AA13*Assumptions!$F$20/12*Assumptions!$F$28</f>
        <v>4647.5</v>
      </c>
      <c r="AB32" s="8" t="n">
        <f aca="false">AB13*Assumptions!$F$20/12*Assumptions!$F$28</f>
        <v>4826.25</v>
      </c>
      <c r="AC32" s="8" t="n">
        <f aca="false">AC13*Assumptions!$F$20/12*Assumptions!$F$28</f>
        <v>4826.25</v>
      </c>
      <c r="AD32" s="8" t="n">
        <f aca="false">AD13*Assumptions!$F$20/12*Assumptions!$F$28</f>
        <v>5005</v>
      </c>
      <c r="AE32" s="8" t="n">
        <f aca="false">AE13*Assumptions!$F$20/12*Assumptions!$F$28</f>
        <v>5005</v>
      </c>
      <c r="AF32" s="8" t="n">
        <f aca="false">AF13*Assumptions!$F$20/12*Assumptions!$F$28</f>
        <v>5183.75</v>
      </c>
      <c r="AG32" s="8" t="n">
        <f aca="false">AG13*Assumptions!$F$20/12*Assumptions!$F$28</f>
        <v>5183.75</v>
      </c>
      <c r="AH32" s="8" t="n">
        <f aca="false">AH13*Assumptions!$F$20/12*Assumptions!$F$28</f>
        <v>5362.5</v>
      </c>
      <c r="AI32" s="8" t="n">
        <f aca="false">AI13*Assumptions!$F$20/12*Assumptions!$F$28</f>
        <v>5362.5</v>
      </c>
      <c r="AJ32" s="8" t="n">
        <f aca="false">AJ13*Assumptions!$F$20/12*Assumptions!$F$28</f>
        <v>5541.25</v>
      </c>
      <c r="AK32" s="8" t="n">
        <f aca="false">AK13*Assumptions!$F$20/12*Assumptions!$F$28</f>
        <v>5541.25</v>
      </c>
      <c r="AL32" s="8" t="n">
        <f aca="false">AL13*Assumptions!$F$20/12*Assumptions!$F$28</f>
        <v>5720</v>
      </c>
    </row>
    <row r="33" customFormat="false" ht="15" hidden="false" customHeight="false" outlineLevel="0" collapsed="false">
      <c r="B33" s="2" t="s">
        <v>267</v>
      </c>
      <c r="C33" s="8" t="n">
        <f aca="false">CHOOSE(C$5,Assumptions!$F$32,Assumptions!$F$33,Assumptions!$F$34)*52/12*(Assumptions!$F$35*(Assumptions!$F$24+Assumptions!$F$25)*(1+Assumptions!$F$27)+Assumptions!$F$36)</f>
        <v>734.5</v>
      </c>
      <c r="D33" s="8" t="n">
        <f aca="false">CHOOSE(D$5,Assumptions!$F$32,Assumptions!$F$33,Assumptions!$F$34)*52/12*(Assumptions!$F$35*(Assumptions!$F$24+Assumptions!$F$25)*(1+Assumptions!$F$27)+Assumptions!$F$36)</f>
        <v>734.5</v>
      </c>
      <c r="E33" s="8" t="n">
        <f aca="false">CHOOSE(E$5,Assumptions!$F$32,Assumptions!$F$33,Assumptions!$F$34)*52/12*(Assumptions!$F$35*(Assumptions!$F$24+Assumptions!$F$25)*(1+Assumptions!$F$27)+Assumptions!$F$36)</f>
        <v>734.5</v>
      </c>
      <c r="F33" s="8" t="n">
        <f aca="false">CHOOSE(F$5,Assumptions!$F$32,Assumptions!$F$33,Assumptions!$F$34)*52/12*(Assumptions!$F$35*(Assumptions!$F$24+Assumptions!$F$25)*(1+Assumptions!$F$27)+Assumptions!$F$36)</f>
        <v>734.5</v>
      </c>
      <c r="G33" s="8" t="n">
        <f aca="false">CHOOSE(G$5,Assumptions!$F$32,Assumptions!$F$33,Assumptions!$F$34)*52/12*(Assumptions!$F$35*(Assumptions!$F$24+Assumptions!$F$25)*(1+Assumptions!$F$27)+Assumptions!$F$36)</f>
        <v>734.5</v>
      </c>
      <c r="H33" s="8" t="n">
        <f aca="false">CHOOSE(H$5,Assumptions!$F$32,Assumptions!$F$33,Assumptions!$F$34)*52/12*(Assumptions!$F$35*(Assumptions!$F$24+Assumptions!$F$25)*(1+Assumptions!$F$27)+Assumptions!$F$36)</f>
        <v>734.5</v>
      </c>
      <c r="I33" s="8" t="n">
        <f aca="false">CHOOSE(I$5,Assumptions!$F$32,Assumptions!$F$33,Assumptions!$F$34)*52/12*(Assumptions!$F$35*(Assumptions!$F$24+Assumptions!$F$25)*(1+Assumptions!$F$27)+Assumptions!$F$36)</f>
        <v>734.5</v>
      </c>
      <c r="J33" s="8" t="n">
        <f aca="false">CHOOSE(J$5,Assumptions!$F$32,Assumptions!$F$33,Assumptions!$F$34)*52/12*(Assumptions!$F$35*(Assumptions!$F$24+Assumptions!$F$25)*(1+Assumptions!$F$27)+Assumptions!$F$36)</f>
        <v>734.5</v>
      </c>
      <c r="K33" s="8" t="n">
        <f aca="false">CHOOSE(K$5,Assumptions!$F$32,Assumptions!$F$33,Assumptions!$F$34)*52/12*(Assumptions!$F$35*(Assumptions!$F$24+Assumptions!$F$25)*(1+Assumptions!$F$27)+Assumptions!$F$36)</f>
        <v>734.5</v>
      </c>
      <c r="L33" s="8" t="n">
        <f aca="false">CHOOSE(L$5,Assumptions!$F$32,Assumptions!$F$33,Assumptions!$F$34)*52/12*(Assumptions!$F$35*(Assumptions!$F$24+Assumptions!$F$25)*(1+Assumptions!$F$27)+Assumptions!$F$36)</f>
        <v>734.5</v>
      </c>
      <c r="M33" s="8" t="n">
        <f aca="false">CHOOSE(M$5,Assumptions!$F$32,Assumptions!$F$33,Assumptions!$F$34)*52/12*(Assumptions!$F$35*(Assumptions!$F$24+Assumptions!$F$25)*(1+Assumptions!$F$27)+Assumptions!$F$36)</f>
        <v>734.5</v>
      </c>
      <c r="N33" s="8" t="n">
        <f aca="false">CHOOSE(N$5,Assumptions!$F$32,Assumptions!$F$33,Assumptions!$F$34)*52/12*(Assumptions!$F$35*(Assumptions!$F$24+Assumptions!$F$25)*(1+Assumptions!$F$27)+Assumptions!$F$36)</f>
        <v>734.5</v>
      </c>
      <c r="O33" s="8" t="n">
        <f aca="false">CHOOSE(O$5,Assumptions!$F$32,Assumptions!$F$33,Assumptions!$F$34)*52/12*(Assumptions!$F$35*(Assumptions!$F$24+Assumptions!$F$25)*(1+Assumptions!$F$27)+Assumptions!$F$36)</f>
        <v>1224.16666666667</v>
      </c>
      <c r="P33" s="8" t="n">
        <f aca="false">CHOOSE(P$5,Assumptions!$F$32,Assumptions!$F$33,Assumptions!$F$34)*52/12*(Assumptions!$F$35*(Assumptions!$F$24+Assumptions!$F$25)*(1+Assumptions!$F$27)+Assumptions!$F$36)</f>
        <v>1224.16666666667</v>
      </c>
      <c r="Q33" s="8" t="n">
        <f aca="false">CHOOSE(Q$5,Assumptions!$F$32,Assumptions!$F$33,Assumptions!$F$34)*52/12*(Assumptions!$F$35*(Assumptions!$F$24+Assumptions!$F$25)*(1+Assumptions!$F$27)+Assumptions!$F$36)</f>
        <v>1224.16666666667</v>
      </c>
      <c r="R33" s="8" t="n">
        <f aca="false">CHOOSE(R$5,Assumptions!$F$32,Assumptions!$F$33,Assumptions!$F$34)*52/12*(Assumptions!$F$35*(Assumptions!$F$24+Assumptions!$F$25)*(1+Assumptions!$F$27)+Assumptions!$F$36)</f>
        <v>1224.16666666667</v>
      </c>
      <c r="S33" s="8" t="n">
        <f aca="false">CHOOSE(S$5,Assumptions!$F$32,Assumptions!$F$33,Assumptions!$F$34)*52/12*(Assumptions!$F$35*(Assumptions!$F$24+Assumptions!$F$25)*(1+Assumptions!$F$27)+Assumptions!$F$36)</f>
        <v>1224.16666666667</v>
      </c>
      <c r="T33" s="8" t="n">
        <f aca="false">CHOOSE(T$5,Assumptions!$F$32,Assumptions!$F$33,Assumptions!$F$34)*52/12*(Assumptions!$F$35*(Assumptions!$F$24+Assumptions!$F$25)*(1+Assumptions!$F$27)+Assumptions!$F$36)</f>
        <v>1224.16666666667</v>
      </c>
      <c r="U33" s="8" t="n">
        <f aca="false">CHOOSE(U$5,Assumptions!$F$32,Assumptions!$F$33,Assumptions!$F$34)*52/12*(Assumptions!$F$35*(Assumptions!$F$24+Assumptions!$F$25)*(1+Assumptions!$F$27)+Assumptions!$F$36)</f>
        <v>1224.16666666667</v>
      </c>
      <c r="V33" s="8" t="n">
        <f aca="false">CHOOSE(V$5,Assumptions!$F$32,Assumptions!$F$33,Assumptions!$F$34)*52/12*(Assumptions!$F$35*(Assumptions!$F$24+Assumptions!$F$25)*(1+Assumptions!$F$27)+Assumptions!$F$36)</f>
        <v>1224.16666666667</v>
      </c>
      <c r="W33" s="8" t="n">
        <f aca="false">CHOOSE(W$5,Assumptions!$F$32,Assumptions!$F$33,Assumptions!$F$34)*52/12*(Assumptions!$F$35*(Assumptions!$F$24+Assumptions!$F$25)*(1+Assumptions!$F$27)+Assumptions!$F$36)</f>
        <v>1224.16666666667</v>
      </c>
      <c r="X33" s="8" t="n">
        <f aca="false">CHOOSE(X$5,Assumptions!$F$32,Assumptions!$F$33,Assumptions!$F$34)*52/12*(Assumptions!$F$35*(Assumptions!$F$24+Assumptions!$F$25)*(1+Assumptions!$F$27)+Assumptions!$F$36)</f>
        <v>1224.16666666667</v>
      </c>
      <c r="Y33" s="8" t="n">
        <f aca="false">CHOOSE(Y$5,Assumptions!$F$32,Assumptions!$F$33,Assumptions!$F$34)*52/12*(Assumptions!$F$35*(Assumptions!$F$24+Assumptions!$F$25)*(1+Assumptions!$F$27)+Assumptions!$F$36)</f>
        <v>1224.16666666667</v>
      </c>
      <c r="Z33" s="8" t="n">
        <f aca="false">CHOOSE(Z$5,Assumptions!$F$32,Assumptions!$F$33,Assumptions!$F$34)*52/12*(Assumptions!$F$35*(Assumptions!$F$24+Assumptions!$F$25)*(1+Assumptions!$F$27)+Assumptions!$F$36)</f>
        <v>1224.16666666667</v>
      </c>
      <c r="AA33" s="8" t="n">
        <f aca="false">CHOOSE(AA$5,Assumptions!$F$32,Assumptions!$F$33,Assumptions!$F$34)*52/12*(Assumptions!$F$35*(Assumptions!$F$24+Assumptions!$F$25)*(1+Assumptions!$F$27)+Assumptions!$F$36)</f>
        <v>1713.83333333333</v>
      </c>
      <c r="AB33" s="8" t="n">
        <f aca="false">CHOOSE(AB$5,Assumptions!$F$32,Assumptions!$F$33,Assumptions!$F$34)*52/12*(Assumptions!$F$35*(Assumptions!$F$24+Assumptions!$F$25)*(1+Assumptions!$F$27)+Assumptions!$F$36)</f>
        <v>1713.83333333333</v>
      </c>
      <c r="AC33" s="8" t="n">
        <f aca="false">CHOOSE(AC$5,Assumptions!$F$32,Assumptions!$F$33,Assumptions!$F$34)*52/12*(Assumptions!$F$35*(Assumptions!$F$24+Assumptions!$F$25)*(1+Assumptions!$F$27)+Assumptions!$F$36)</f>
        <v>1713.83333333333</v>
      </c>
      <c r="AD33" s="8" t="n">
        <f aca="false">CHOOSE(AD$5,Assumptions!$F$32,Assumptions!$F$33,Assumptions!$F$34)*52/12*(Assumptions!$F$35*(Assumptions!$F$24+Assumptions!$F$25)*(1+Assumptions!$F$27)+Assumptions!$F$36)</f>
        <v>1713.83333333333</v>
      </c>
      <c r="AE33" s="8" t="n">
        <f aca="false">CHOOSE(AE$5,Assumptions!$F$32,Assumptions!$F$33,Assumptions!$F$34)*52/12*(Assumptions!$F$35*(Assumptions!$F$24+Assumptions!$F$25)*(1+Assumptions!$F$27)+Assumptions!$F$36)</f>
        <v>1713.83333333333</v>
      </c>
      <c r="AF33" s="8" t="n">
        <f aca="false">CHOOSE(AF$5,Assumptions!$F$32,Assumptions!$F$33,Assumptions!$F$34)*52/12*(Assumptions!$F$35*(Assumptions!$F$24+Assumptions!$F$25)*(1+Assumptions!$F$27)+Assumptions!$F$36)</f>
        <v>1713.83333333333</v>
      </c>
      <c r="AG33" s="8" t="n">
        <f aca="false">CHOOSE(AG$5,Assumptions!$F$32,Assumptions!$F$33,Assumptions!$F$34)*52/12*(Assumptions!$F$35*(Assumptions!$F$24+Assumptions!$F$25)*(1+Assumptions!$F$27)+Assumptions!$F$36)</f>
        <v>1713.83333333333</v>
      </c>
      <c r="AH33" s="8" t="n">
        <f aca="false">CHOOSE(AH$5,Assumptions!$F$32,Assumptions!$F$33,Assumptions!$F$34)*52/12*(Assumptions!$F$35*(Assumptions!$F$24+Assumptions!$F$25)*(1+Assumptions!$F$27)+Assumptions!$F$36)</f>
        <v>1713.83333333333</v>
      </c>
      <c r="AI33" s="8" t="n">
        <f aca="false">CHOOSE(AI$5,Assumptions!$F$32,Assumptions!$F$33,Assumptions!$F$34)*52/12*(Assumptions!$F$35*(Assumptions!$F$24+Assumptions!$F$25)*(1+Assumptions!$F$27)+Assumptions!$F$36)</f>
        <v>1713.83333333333</v>
      </c>
      <c r="AJ33" s="8" t="n">
        <f aca="false">CHOOSE(AJ$5,Assumptions!$F$32,Assumptions!$F$33,Assumptions!$F$34)*52/12*(Assumptions!$F$35*(Assumptions!$F$24+Assumptions!$F$25)*(1+Assumptions!$F$27)+Assumptions!$F$36)</f>
        <v>1713.83333333333</v>
      </c>
      <c r="AK33" s="8" t="n">
        <f aca="false">CHOOSE(AK$5,Assumptions!$F$32,Assumptions!$F$33,Assumptions!$F$34)*52/12*(Assumptions!$F$35*(Assumptions!$F$24+Assumptions!$F$25)*(1+Assumptions!$F$27)+Assumptions!$F$36)</f>
        <v>1713.83333333333</v>
      </c>
      <c r="AL33" s="8" t="n">
        <f aca="false">CHOOSE(AL$5,Assumptions!$F$32,Assumptions!$F$33,Assumptions!$F$34)*52/12*(Assumptions!$F$35*(Assumptions!$F$24+Assumptions!$F$25)*(1+Assumptions!$F$27)+Assumptions!$F$36)</f>
        <v>1713.83333333333</v>
      </c>
    </row>
    <row r="34" customFormat="false" ht="15" hidden="false" customHeight="false" outlineLevel="0" collapsed="false">
      <c r="B34" s="2" t="s">
        <v>268</v>
      </c>
      <c r="C34" s="8" t="n">
        <f aca="false">CHOOSE(C$5,Assumptions!$F$39,Assumptions!$F$40,Assumptions!$F$41)/12*(Assumptions!$F$44*Assumptions!$F$56+Assumptions!$F$42*Assumptions!$F$45)</f>
        <v>141.333333333333</v>
      </c>
      <c r="D34" s="8" t="n">
        <f aca="false">CHOOSE(D$5,Assumptions!$F$39,Assumptions!$F$40,Assumptions!$F$41)/12*(Assumptions!$F$44*Assumptions!$F$56+Assumptions!$F$42*Assumptions!$F$45)</f>
        <v>141.333333333333</v>
      </c>
      <c r="E34" s="8" t="n">
        <f aca="false">CHOOSE(E$5,Assumptions!$F$39,Assumptions!$F$40,Assumptions!$F$41)/12*(Assumptions!$F$44*Assumptions!$F$56+Assumptions!$F$42*Assumptions!$F$45)</f>
        <v>141.333333333333</v>
      </c>
      <c r="F34" s="8" t="n">
        <f aca="false">CHOOSE(F$5,Assumptions!$F$39,Assumptions!$F$40,Assumptions!$F$41)/12*(Assumptions!$F$44*Assumptions!$F$56+Assumptions!$F$42*Assumptions!$F$45)</f>
        <v>141.333333333333</v>
      </c>
      <c r="G34" s="8" t="n">
        <f aca="false">CHOOSE(G$5,Assumptions!$F$39,Assumptions!$F$40,Assumptions!$F$41)/12*(Assumptions!$F$44*Assumptions!$F$56+Assumptions!$F$42*Assumptions!$F$45)</f>
        <v>141.333333333333</v>
      </c>
      <c r="H34" s="8" t="n">
        <f aca="false">CHOOSE(H$5,Assumptions!$F$39,Assumptions!$F$40,Assumptions!$F$41)/12*(Assumptions!$F$44*Assumptions!$F$56+Assumptions!$F$42*Assumptions!$F$45)</f>
        <v>141.333333333333</v>
      </c>
      <c r="I34" s="8" t="n">
        <f aca="false">CHOOSE(I$5,Assumptions!$F$39,Assumptions!$F$40,Assumptions!$F$41)/12*(Assumptions!$F$44*Assumptions!$F$56+Assumptions!$F$42*Assumptions!$F$45)</f>
        <v>141.333333333333</v>
      </c>
      <c r="J34" s="8" t="n">
        <f aca="false">CHOOSE(J$5,Assumptions!$F$39,Assumptions!$F$40,Assumptions!$F$41)/12*(Assumptions!$F$44*Assumptions!$F$56+Assumptions!$F$42*Assumptions!$F$45)</f>
        <v>141.333333333333</v>
      </c>
      <c r="K34" s="8" t="n">
        <f aca="false">CHOOSE(K$5,Assumptions!$F$39,Assumptions!$F$40,Assumptions!$F$41)/12*(Assumptions!$F$44*Assumptions!$F$56+Assumptions!$F$42*Assumptions!$F$45)</f>
        <v>141.333333333333</v>
      </c>
      <c r="L34" s="8" t="n">
        <f aca="false">CHOOSE(L$5,Assumptions!$F$39,Assumptions!$F$40,Assumptions!$F$41)/12*(Assumptions!$F$44*Assumptions!$F$56+Assumptions!$F$42*Assumptions!$F$45)</f>
        <v>141.333333333333</v>
      </c>
      <c r="M34" s="8" t="n">
        <f aca="false">CHOOSE(M$5,Assumptions!$F$39,Assumptions!$F$40,Assumptions!$F$41)/12*(Assumptions!$F$44*Assumptions!$F$56+Assumptions!$F$42*Assumptions!$F$45)</f>
        <v>141.333333333333</v>
      </c>
      <c r="N34" s="8" t="n">
        <f aca="false">CHOOSE(N$5,Assumptions!$F$39,Assumptions!$F$40,Assumptions!$F$41)/12*(Assumptions!$F$44*Assumptions!$F$56+Assumptions!$F$42*Assumptions!$F$45)</f>
        <v>141.333333333333</v>
      </c>
      <c r="O34" s="8" t="n">
        <f aca="false">CHOOSE(O$5,Assumptions!$F$39,Assumptions!$F$40,Assumptions!$F$41)/12*(Assumptions!$F$44*Assumptions!$F$56+Assumptions!$F$42*Assumptions!$F$45)</f>
        <v>212</v>
      </c>
      <c r="P34" s="8" t="n">
        <f aca="false">CHOOSE(P$5,Assumptions!$F$39,Assumptions!$F$40,Assumptions!$F$41)/12*(Assumptions!$F$44*Assumptions!$F$56+Assumptions!$F$42*Assumptions!$F$45)</f>
        <v>212</v>
      </c>
      <c r="Q34" s="8" t="n">
        <f aca="false">CHOOSE(Q$5,Assumptions!$F$39,Assumptions!$F$40,Assumptions!$F$41)/12*(Assumptions!$F$44*Assumptions!$F$56+Assumptions!$F$42*Assumptions!$F$45)</f>
        <v>212</v>
      </c>
      <c r="R34" s="8" t="n">
        <f aca="false">CHOOSE(R$5,Assumptions!$F$39,Assumptions!$F$40,Assumptions!$F$41)/12*(Assumptions!$F$44*Assumptions!$F$56+Assumptions!$F$42*Assumptions!$F$45)</f>
        <v>212</v>
      </c>
      <c r="S34" s="8" t="n">
        <f aca="false">CHOOSE(S$5,Assumptions!$F$39,Assumptions!$F$40,Assumptions!$F$41)/12*(Assumptions!$F$44*Assumptions!$F$56+Assumptions!$F$42*Assumptions!$F$45)</f>
        <v>212</v>
      </c>
      <c r="T34" s="8" t="n">
        <f aca="false">CHOOSE(T$5,Assumptions!$F$39,Assumptions!$F$40,Assumptions!$F$41)/12*(Assumptions!$F$44*Assumptions!$F$56+Assumptions!$F$42*Assumptions!$F$45)</f>
        <v>212</v>
      </c>
      <c r="U34" s="8" t="n">
        <f aca="false">CHOOSE(U$5,Assumptions!$F$39,Assumptions!$F$40,Assumptions!$F$41)/12*(Assumptions!$F$44*Assumptions!$F$56+Assumptions!$F$42*Assumptions!$F$45)</f>
        <v>212</v>
      </c>
      <c r="V34" s="8" t="n">
        <f aca="false">CHOOSE(V$5,Assumptions!$F$39,Assumptions!$F$40,Assumptions!$F$41)/12*(Assumptions!$F$44*Assumptions!$F$56+Assumptions!$F$42*Assumptions!$F$45)</f>
        <v>212</v>
      </c>
      <c r="W34" s="8" t="n">
        <f aca="false">CHOOSE(W$5,Assumptions!$F$39,Assumptions!$F$40,Assumptions!$F$41)/12*(Assumptions!$F$44*Assumptions!$F$56+Assumptions!$F$42*Assumptions!$F$45)</f>
        <v>212</v>
      </c>
      <c r="X34" s="8" t="n">
        <f aca="false">CHOOSE(X$5,Assumptions!$F$39,Assumptions!$F$40,Assumptions!$F$41)/12*(Assumptions!$F$44*Assumptions!$F$56+Assumptions!$F$42*Assumptions!$F$45)</f>
        <v>212</v>
      </c>
      <c r="Y34" s="8" t="n">
        <f aca="false">CHOOSE(Y$5,Assumptions!$F$39,Assumptions!$F$40,Assumptions!$F$41)/12*(Assumptions!$F$44*Assumptions!$F$56+Assumptions!$F$42*Assumptions!$F$45)</f>
        <v>212</v>
      </c>
      <c r="Z34" s="8" t="n">
        <f aca="false">CHOOSE(Z$5,Assumptions!$F$39,Assumptions!$F$40,Assumptions!$F$41)/12*(Assumptions!$F$44*Assumptions!$F$56+Assumptions!$F$42*Assumptions!$F$45)</f>
        <v>212</v>
      </c>
      <c r="AA34" s="8" t="n">
        <f aca="false">CHOOSE(AA$5,Assumptions!$F$39,Assumptions!$F$40,Assumptions!$F$41)/12*(Assumptions!$F$44*Assumptions!$F$56+Assumptions!$F$42*Assumptions!$F$45)</f>
        <v>282.666666666667</v>
      </c>
      <c r="AB34" s="8" t="n">
        <f aca="false">CHOOSE(AB$5,Assumptions!$F$39,Assumptions!$F$40,Assumptions!$F$41)/12*(Assumptions!$F$44*Assumptions!$F$56+Assumptions!$F$42*Assumptions!$F$45)</f>
        <v>282.666666666667</v>
      </c>
      <c r="AC34" s="8" t="n">
        <f aca="false">CHOOSE(AC$5,Assumptions!$F$39,Assumptions!$F$40,Assumptions!$F$41)/12*(Assumptions!$F$44*Assumptions!$F$56+Assumptions!$F$42*Assumptions!$F$45)</f>
        <v>282.666666666667</v>
      </c>
      <c r="AD34" s="8" t="n">
        <f aca="false">CHOOSE(AD$5,Assumptions!$F$39,Assumptions!$F$40,Assumptions!$F$41)/12*(Assumptions!$F$44*Assumptions!$F$56+Assumptions!$F$42*Assumptions!$F$45)</f>
        <v>282.666666666667</v>
      </c>
      <c r="AE34" s="8" t="n">
        <f aca="false">CHOOSE(AE$5,Assumptions!$F$39,Assumptions!$F$40,Assumptions!$F$41)/12*(Assumptions!$F$44*Assumptions!$F$56+Assumptions!$F$42*Assumptions!$F$45)</f>
        <v>282.666666666667</v>
      </c>
      <c r="AF34" s="8" t="n">
        <f aca="false">CHOOSE(AF$5,Assumptions!$F$39,Assumptions!$F$40,Assumptions!$F$41)/12*(Assumptions!$F$44*Assumptions!$F$56+Assumptions!$F$42*Assumptions!$F$45)</f>
        <v>282.666666666667</v>
      </c>
      <c r="AG34" s="8" t="n">
        <f aca="false">CHOOSE(AG$5,Assumptions!$F$39,Assumptions!$F$40,Assumptions!$F$41)/12*(Assumptions!$F$44*Assumptions!$F$56+Assumptions!$F$42*Assumptions!$F$45)</f>
        <v>282.666666666667</v>
      </c>
      <c r="AH34" s="8" t="n">
        <f aca="false">CHOOSE(AH$5,Assumptions!$F$39,Assumptions!$F$40,Assumptions!$F$41)/12*(Assumptions!$F$44*Assumptions!$F$56+Assumptions!$F$42*Assumptions!$F$45)</f>
        <v>282.666666666667</v>
      </c>
      <c r="AI34" s="8" t="n">
        <f aca="false">CHOOSE(AI$5,Assumptions!$F$39,Assumptions!$F$40,Assumptions!$F$41)/12*(Assumptions!$F$44*Assumptions!$F$56+Assumptions!$F$42*Assumptions!$F$45)</f>
        <v>282.666666666667</v>
      </c>
      <c r="AJ34" s="8" t="n">
        <f aca="false">CHOOSE(AJ$5,Assumptions!$F$39,Assumptions!$F$40,Assumptions!$F$41)/12*(Assumptions!$F$44*Assumptions!$F$56+Assumptions!$F$42*Assumptions!$F$45)</f>
        <v>282.666666666667</v>
      </c>
      <c r="AK34" s="8" t="n">
        <f aca="false">CHOOSE(AK$5,Assumptions!$F$39,Assumptions!$F$40,Assumptions!$F$41)/12*(Assumptions!$F$44*Assumptions!$F$56+Assumptions!$F$42*Assumptions!$F$45)</f>
        <v>282.666666666667</v>
      </c>
      <c r="AL34" s="8" t="n">
        <f aca="false">CHOOSE(AL$5,Assumptions!$F$39,Assumptions!$F$40,Assumptions!$F$41)/12*(Assumptions!$F$44*Assumptions!$F$56+Assumptions!$F$42*Assumptions!$F$45)</f>
        <v>282.666666666667</v>
      </c>
    </row>
    <row r="35" customFormat="false" ht="15" hidden="false" customHeight="false" outlineLevel="0" collapsed="false">
      <c r="B35" s="2" t="s">
        <v>269</v>
      </c>
      <c r="C35" s="8" t="n">
        <f aca="false">INDEX(Assumptions!$C$106:$C$117,C$6)*5*CHOOSE(C$5,Assumptions!$F$48,Assumptions!$F$49,Assumptions!$F$50)*ROUNDUP(CHOOSE(C$5,Assumptions!$F$51,Assumptions!$F$52,Assumptions!$F$53)/Assumptions!$F$54,0)*Assumptions!$F$55*Assumptions!$F$56</f>
        <v>0</v>
      </c>
      <c r="D35" s="8" t="n">
        <f aca="false">INDEX(Assumptions!$C$106:$C$117,D$6)*5*CHOOSE(D$5,Assumptions!$F$48,Assumptions!$F$49,Assumptions!$F$50)*ROUNDUP(CHOOSE(D$5,Assumptions!$F$51,Assumptions!$F$52,Assumptions!$F$53)/Assumptions!$F$54,0)*Assumptions!$F$55*Assumptions!$F$56</f>
        <v>924</v>
      </c>
      <c r="E35" s="8" t="n">
        <f aca="false">INDEX(Assumptions!$C$106:$C$117,E$6)*5*CHOOSE(E$5,Assumptions!$F$48,Assumptions!$F$49,Assumptions!$F$50)*ROUNDUP(CHOOSE(E$5,Assumptions!$F$51,Assumptions!$F$52,Assumptions!$F$53)/Assumptions!$F$54,0)*Assumptions!$F$55*Assumptions!$F$56</f>
        <v>0</v>
      </c>
      <c r="F35" s="8" t="n">
        <f aca="false">INDEX(Assumptions!$C$106:$C$117,F$6)*5*CHOOSE(F$5,Assumptions!$F$48,Assumptions!$F$49,Assumptions!$F$50)*ROUNDUP(CHOOSE(F$5,Assumptions!$F$51,Assumptions!$F$52,Assumptions!$F$53)/Assumptions!$F$54,0)*Assumptions!$F$55*Assumptions!$F$56</f>
        <v>1848</v>
      </c>
      <c r="G35" s="8" t="n">
        <f aca="false">INDEX(Assumptions!$C$106:$C$117,G$6)*5*CHOOSE(G$5,Assumptions!$F$48,Assumptions!$F$49,Assumptions!$F$50)*ROUNDUP(CHOOSE(G$5,Assumptions!$F$51,Assumptions!$F$52,Assumptions!$F$53)/Assumptions!$F$54,0)*Assumptions!$F$55*Assumptions!$F$56</f>
        <v>0</v>
      </c>
      <c r="H35" s="8" t="n">
        <f aca="false">INDEX(Assumptions!$C$106:$C$117,H$6)*5*CHOOSE(H$5,Assumptions!$F$48,Assumptions!$F$49,Assumptions!$F$50)*ROUNDUP(CHOOSE(H$5,Assumptions!$F$51,Assumptions!$F$52,Assumptions!$F$53)/Assumptions!$F$54,0)*Assumptions!$F$55*Assumptions!$F$56</f>
        <v>924</v>
      </c>
      <c r="I35" s="8" t="n">
        <f aca="false">INDEX(Assumptions!$C$106:$C$117,I$6)*5*CHOOSE(I$5,Assumptions!$F$48,Assumptions!$F$49,Assumptions!$F$50)*ROUNDUP(CHOOSE(I$5,Assumptions!$F$51,Assumptions!$F$52,Assumptions!$F$53)/Assumptions!$F$54,0)*Assumptions!$F$55*Assumptions!$F$56</f>
        <v>0</v>
      </c>
      <c r="J35" s="8" t="n">
        <f aca="false">INDEX(Assumptions!$C$106:$C$117,J$6)*5*CHOOSE(J$5,Assumptions!$F$48,Assumptions!$F$49,Assumptions!$F$50)*ROUNDUP(CHOOSE(J$5,Assumptions!$F$51,Assumptions!$F$52,Assumptions!$F$53)/Assumptions!$F$54,0)*Assumptions!$F$55*Assumptions!$F$56</f>
        <v>1848</v>
      </c>
      <c r="K35" s="8" t="n">
        <f aca="false">INDEX(Assumptions!$C$106:$C$117,K$6)*5*CHOOSE(K$5,Assumptions!$F$48,Assumptions!$F$49,Assumptions!$F$50)*ROUNDUP(CHOOSE(K$5,Assumptions!$F$51,Assumptions!$F$52,Assumptions!$F$53)/Assumptions!$F$54,0)*Assumptions!$F$55*Assumptions!$F$56</f>
        <v>924</v>
      </c>
      <c r="L35" s="8" t="n">
        <f aca="false">INDEX(Assumptions!$C$106:$C$117,L$6)*5*CHOOSE(L$5,Assumptions!$F$48,Assumptions!$F$49,Assumptions!$F$50)*ROUNDUP(CHOOSE(L$5,Assumptions!$F$51,Assumptions!$F$52,Assumptions!$F$53)/Assumptions!$F$54,0)*Assumptions!$F$55*Assumptions!$F$56</f>
        <v>0</v>
      </c>
      <c r="M35" s="8" t="n">
        <f aca="false">INDEX(Assumptions!$C$106:$C$117,M$6)*5*CHOOSE(M$5,Assumptions!$F$48,Assumptions!$F$49,Assumptions!$F$50)*ROUNDUP(CHOOSE(M$5,Assumptions!$F$51,Assumptions!$F$52,Assumptions!$F$53)/Assumptions!$F$54,0)*Assumptions!$F$55*Assumptions!$F$56</f>
        <v>1848</v>
      </c>
      <c r="N35" s="8" t="n">
        <f aca="false">INDEX(Assumptions!$C$106:$C$117,N$6)*5*CHOOSE(N$5,Assumptions!$F$48,Assumptions!$F$49,Assumptions!$F$50)*ROUNDUP(CHOOSE(N$5,Assumptions!$F$51,Assumptions!$F$52,Assumptions!$F$53)/Assumptions!$F$54,0)*Assumptions!$F$55*Assumptions!$F$56</f>
        <v>3696</v>
      </c>
      <c r="O35" s="8" t="n">
        <f aca="false">INDEX(Assumptions!$C$106:$C$117,O$6)*5*CHOOSE(O$5,Assumptions!$F$48,Assumptions!$F$49,Assumptions!$F$50)*ROUNDUP(CHOOSE(O$5,Assumptions!$F$51,Assumptions!$F$52,Assumptions!$F$53)/Assumptions!$F$54,0)*Assumptions!$F$55*Assumptions!$F$56</f>
        <v>0</v>
      </c>
      <c r="P35" s="8" t="n">
        <f aca="false">INDEX(Assumptions!$C$106:$C$117,P$6)*5*CHOOSE(P$5,Assumptions!$F$48,Assumptions!$F$49,Assumptions!$F$50)*ROUNDUP(CHOOSE(P$5,Assumptions!$F$51,Assumptions!$F$52,Assumptions!$F$53)/Assumptions!$F$54,0)*Assumptions!$F$55*Assumptions!$F$56</f>
        <v>2079</v>
      </c>
      <c r="Q35" s="8" t="n">
        <f aca="false">INDEX(Assumptions!$C$106:$C$117,Q$6)*5*CHOOSE(Q$5,Assumptions!$F$48,Assumptions!$F$49,Assumptions!$F$50)*ROUNDUP(CHOOSE(Q$5,Assumptions!$F$51,Assumptions!$F$52,Assumptions!$F$53)/Assumptions!$F$54,0)*Assumptions!$F$55*Assumptions!$F$56</f>
        <v>0</v>
      </c>
      <c r="R35" s="8" t="n">
        <f aca="false">INDEX(Assumptions!$C$106:$C$117,R$6)*5*CHOOSE(R$5,Assumptions!$F$48,Assumptions!$F$49,Assumptions!$F$50)*ROUNDUP(CHOOSE(R$5,Assumptions!$F$51,Assumptions!$F$52,Assumptions!$F$53)/Assumptions!$F$54,0)*Assumptions!$F$55*Assumptions!$F$56</f>
        <v>4158</v>
      </c>
      <c r="S35" s="8" t="n">
        <f aca="false">INDEX(Assumptions!$C$106:$C$117,S$6)*5*CHOOSE(S$5,Assumptions!$F$48,Assumptions!$F$49,Assumptions!$F$50)*ROUNDUP(CHOOSE(S$5,Assumptions!$F$51,Assumptions!$F$52,Assumptions!$F$53)/Assumptions!$F$54,0)*Assumptions!$F$55*Assumptions!$F$56</f>
        <v>0</v>
      </c>
      <c r="T35" s="8" t="n">
        <f aca="false">INDEX(Assumptions!$C$106:$C$117,T$6)*5*CHOOSE(T$5,Assumptions!$F$48,Assumptions!$F$49,Assumptions!$F$50)*ROUNDUP(CHOOSE(T$5,Assumptions!$F$51,Assumptions!$F$52,Assumptions!$F$53)/Assumptions!$F$54,0)*Assumptions!$F$55*Assumptions!$F$56</f>
        <v>2079</v>
      </c>
      <c r="U35" s="8" t="n">
        <f aca="false">INDEX(Assumptions!$C$106:$C$117,U$6)*5*CHOOSE(U$5,Assumptions!$F$48,Assumptions!$F$49,Assumptions!$F$50)*ROUNDUP(CHOOSE(U$5,Assumptions!$F$51,Assumptions!$F$52,Assumptions!$F$53)/Assumptions!$F$54,0)*Assumptions!$F$55*Assumptions!$F$56</f>
        <v>0</v>
      </c>
      <c r="V35" s="8" t="n">
        <f aca="false">INDEX(Assumptions!$C$106:$C$117,V$6)*5*CHOOSE(V$5,Assumptions!$F$48,Assumptions!$F$49,Assumptions!$F$50)*ROUNDUP(CHOOSE(V$5,Assumptions!$F$51,Assumptions!$F$52,Assumptions!$F$53)/Assumptions!$F$54,0)*Assumptions!$F$55*Assumptions!$F$56</f>
        <v>4158</v>
      </c>
      <c r="W35" s="8" t="n">
        <f aca="false">INDEX(Assumptions!$C$106:$C$117,W$6)*5*CHOOSE(W$5,Assumptions!$F$48,Assumptions!$F$49,Assumptions!$F$50)*ROUNDUP(CHOOSE(W$5,Assumptions!$F$51,Assumptions!$F$52,Assumptions!$F$53)/Assumptions!$F$54,0)*Assumptions!$F$55*Assumptions!$F$56</f>
        <v>2079</v>
      </c>
      <c r="X35" s="8" t="n">
        <f aca="false">INDEX(Assumptions!$C$106:$C$117,X$6)*5*CHOOSE(X$5,Assumptions!$F$48,Assumptions!$F$49,Assumptions!$F$50)*ROUNDUP(CHOOSE(X$5,Assumptions!$F$51,Assumptions!$F$52,Assumptions!$F$53)/Assumptions!$F$54,0)*Assumptions!$F$55*Assumptions!$F$56</f>
        <v>0</v>
      </c>
      <c r="Y35" s="8" t="n">
        <f aca="false">INDEX(Assumptions!$C$106:$C$117,Y$6)*5*CHOOSE(Y$5,Assumptions!$F$48,Assumptions!$F$49,Assumptions!$F$50)*ROUNDUP(CHOOSE(Y$5,Assumptions!$F$51,Assumptions!$F$52,Assumptions!$F$53)/Assumptions!$F$54,0)*Assumptions!$F$55*Assumptions!$F$56</f>
        <v>4158</v>
      </c>
      <c r="Z35" s="8" t="n">
        <f aca="false">INDEX(Assumptions!$C$106:$C$117,Z$6)*5*CHOOSE(Z$5,Assumptions!$F$48,Assumptions!$F$49,Assumptions!$F$50)*ROUNDUP(CHOOSE(Z$5,Assumptions!$F$51,Assumptions!$F$52,Assumptions!$F$53)/Assumptions!$F$54,0)*Assumptions!$F$55*Assumptions!$F$56</f>
        <v>8316</v>
      </c>
      <c r="AA35" s="8" t="n">
        <f aca="false">INDEX(Assumptions!$C$106:$C$117,AA$6)*5*CHOOSE(AA$5,Assumptions!$F$48,Assumptions!$F$49,Assumptions!$F$50)*ROUNDUP(CHOOSE(AA$5,Assumptions!$F$51,Assumptions!$F$52,Assumptions!$F$53)/Assumptions!$F$54,0)*Assumptions!$F$55*Assumptions!$F$56</f>
        <v>0</v>
      </c>
      <c r="AB35" s="8" t="n">
        <f aca="false">INDEX(Assumptions!$C$106:$C$117,AB$6)*5*CHOOSE(AB$5,Assumptions!$F$48,Assumptions!$F$49,Assumptions!$F$50)*ROUNDUP(CHOOSE(AB$5,Assumptions!$F$51,Assumptions!$F$52,Assumptions!$F$53)/Assumptions!$F$54,0)*Assumptions!$F$55*Assumptions!$F$56</f>
        <v>2310</v>
      </c>
      <c r="AC35" s="8" t="n">
        <f aca="false">INDEX(Assumptions!$C$106:$C$117,AC$6)*5*CHOOSE(AC$5,Assumptions!$F$48,Assumptions!$F$49,Assumptions!$F$50)*ROUNDUP(CHOOSE(AC$5,Assumptions!$F$51,Assumptions!$F$52,Assumptions!$F$53)/Assumptions!$F$54,0)*Assumptions!$F$55*Assumptions!$F$56</f>
        <v>0</v>
      </c>
      <c r="AD35" s="8" t="n">
        <f aca="false">INDEX(Assumptions!$C$106:$C$117,AD$6)*5*CHOOSE(AD$5,Assumptions!$F$48,Assumptions!$F$49,Assumptions!$F$50)*ROUNDUP(CHOOSE(AD$5,Assumptions!$F$51,Assumptions!$F$52,Assumptions!$F$53)/Assumptions!$F$54,0)*Assumptions!$F$55*Assumptions!$F$56</f>
        <v>4620</v>
      </c>
      <c r="AE35" s="8" t="n">
        <f aca="false">INDEX(Assumptions!$C$106:$C$117,AE$6)*5*CHOOSE(AE$5,Assumptions!$F$48,Assumptions!$F$49,Assumptions!$F$50)*ROUNDUP(CHOOSE(AE$5,Assumptions!$F$51,Assumptions!$F$52,Assumptions!$F$53)/Assumptions!$F$54,0)*Assumptions!$F$55*Assumptions!$F$56</f>
        <v>0</v>
      </c>
      <c r="AF35" s="8" t="n">
        <f aca="false">INDEX(Assumptions!$C$106:$C$117,AF$6)*5*CHOOSE(AF$5,Assumptions!$F$48,Assumptions!$F$49,Assumptions!$F$50)*ROUNDUP(CHOOSE(AF$5,Assumptions!$F$51,Assumptions!$F$52,Assumptions!$F$53)/Assumptions!$F$54,0)*Assumptions!$F$55*Assumptions!$F$56</f>
        <v>2310</v>
      </c>
      <c r="AG35" s="8" t="n">
        <f aca="false">INDEX(Assumptions!$C$106:$C$117,AG$6)*5*CHOOSE(AG$5,Assumptions!$F$48,Assumptions!$F$49,Assumptions!$F$50)*ROUNDUP(CHOOSE(AG$5,Assumptions!$F$51,Assumptions!$F$52,Assumptions!$F$53)/Assumptions!$F$54,0)*Assumptions!$F$55*Assumptions!$F$56</f>
        <v>0</v>
      </c>
      <c r="AH35" s="8" t="n">
        <f aca="false">INDEX(Assumptions!$C$106:$C$117,AH$6)*5*CHOOSE(AH$5,Assumptions!$F$48,Assumptions!$F$49,Assumptions!$F$50)*ROUNDUP(CHOOSE(AH$5,Assumptions!$F$51,Assumptions!$F$52,Assumptions!$F$53)/Assumptions!$F$54,0)*Assumptions!$F$55*Assumptions!$F$56</f>
        <v>4620</v>
      </c>
      <c r="AI35" s="8" t="n">
        <f aca="false">INDEX(Assumptions!$C$106:$C$117,AI$6)*5*CHOOSE(AI$5,Assumptions!$F$48,Assumptions!$F$49,Assumptions!$F$50)*ROUNDUP(CHOOSE(AI$5,Assumptions!$F$51,Assumptions!$F$52,Assumptions!$F$53)/Assumptions!$F$54,0)*Assumptions!$F$55*Assumptions!$F$56</f>
        <v>2310</v>
      </c>
      <c r="AJ35" s="8" t="n">
        <f aca="false">INDEX(Assumptions!$C$106:$C$117,AJ$6)*5*CHOOSE(AJ$5,Assumptions!$F$48,Assumptions!$F$49,Assumptions!$F$50)*ROUNDUP(CHOOSE(AJ$5,Assumptions!$F$51,Assumptions!$F$52,Assumptions!$F$53)/Assumptions!$F$54,0)*Assumptions!$F$55*Assumptions!$F$56</f>
        <v>0</v>
      </c>
      <c r="AK35" s="8" t="n">
        <f aca="false">INDEX(Assumptions!$C$106:$C$117,AK$6)*5*CHOOSE(AK$5,Assumptions!$F$48,Assumptions!$F$49,Assumptions!$F$50)*ROUNDUP(CHOOSE(AK$5,Assumptions!$F$51,Assumptions!$F$52,Assumptions!$F$53)/Assumptions!$F$54,0)*Assumptions!$F$55*Assumptions!$F$56</f>
        <v>4620</v>
      </c>
      <c r="AL35" s="8" t="n">
        <f aca="false">INDEX(Assumptions!$C$106:$C$117,AL$6)*5*CHOOSE(AL$5,Assumptions!$F$48,Assumptions!$F$49,Assumptions!$F$50)*ROUNDUP(CHOOSE(AL$5,Assumptions!$F$51,Assumptions!$F$52,Assumptions!$F$53)/Assumptions!$F$54,0)*Assumptions!$F$55*Assumptions!$F$56</f>
        <v>9240</v>
      </c>
    </row>
    <row r="36" customFormat="false" ht="15" hidden="false" customHeight="false" outlineLevel="0" collapsed="false">
      <c r="B36" s="2" t="s">
        <v>270</v>
      </c>
      <c r="C36" s="8" t="n">
        <f aca="false">INDEX(Assumptions!$D$106:$D$117,C$6)*Assumptions!$F$62*CHOOSE(C$5,Assumptions!$F$58,Assumptions!$F$59,Assumptions!$F$60)*Assumptions!$F$63</f>
        <v>0</v>
      </c>
      <c r="D36" s="8" t="n">
        <f aca="false">INDEX(Assumptions!$D$106:$D$117,D$6)*Assumptions!$F$62*CHOOSE(D$5,Assumptions!$F$58,Assumptions!$F$59,Assumptions!$F$60)*Assumptions!$F$63</f>
        <v>0</v>
      </c>
      <c r="E36" s="8" t="n">
        <f aca="false">INDEX(Assumptions!$D$106:$D$117,E$6)*Assumptions!$F$62*CHOOSE(E$5,Assumptions!$F$58,Assumptions!$F$59,Assumptions!$F$60)*Assumptions!$F$63</f>
        <v>0</v>
      </c>
      <c r="F36" s="8" t="n">
        <f aca="false">INDEX(Assumptions!$D$106:$D$117,F$6)*Assumptions!$F$62*CHOOSE(F$5,Assumptions!$F$58,Assumptions!$F$59,Assumptions!$F$60)*Assumptions!$F$63</f>
        <v>480</v>
      </c>
      <c r="G36" s="8" t="n">
        <f aca="false">INDEX(Assumptions!$D$106:$D$117,G$6)*Assumptions!$F$62*CHOOSE(G$5,Assumptions!$F$58,Assumptions!$F$59,Assumptions!$F$60)*Assumptions!$F$63</f>
        <v>0</v>
      </c>
      <c r="H36" s="8" t="n">
        <f aca="false">INDEX(Assumptions!$D$106:$D$117,H$6)*Assumptions!$F$62*CHOOSE(H$5,Assumptions!$F$58,Assumptions!$F$59,Assumptions!$F$60)*Assumptions!$F$63</f>
        <v>0</v>
      </c>
      <c r="I36" s="8" t="n">
        <f aca="false">INDEX(Assumptions!$D$106:$D$117,I$6)*Assumptions!$F$62*CHOOSE(I$5,Assumptions!$F$58,Assumptions!$F$59,Assumptions!$F$60)*Assumptions!$F$63</f>
        <v>0</v>
      </c>
      <c r="J36" s="8" t="n">
        <f aca="false">INDEX(Assumptions!$D$106:$D$117,J$6)*Assumptions!$F$62*CHOOSE(J$5,Assumptions!$F$58,Assumptions!$F$59,Assumptions!$F$60)*Assumptions!$F$63</f>
        <v>480</v>
      </c>
      <c r="K36" s="8" t="n">
        <f aca="false">INDEX(Assumptions!$D$106:$D$117,K$6)*Assumptions!$F$62*CHOOSE(K$5,Assumptions!$F$58,Assumptions!$F$59,Assumptions!$F$60)*Assumptions!$F$63</f>
        <v>0</v>
      </c>
      <c r="L36" s="8" t="n">
        <f aca="false">INDEX(Assumptions!$D$106:$D$117,L$6)*Assumptions!$F$62*CHOOSE(L$5,Assumptions!$F$58,Assumptions!$F$59,Assumptions!$F$60)*Assumptions!$F$63</f>
        <v>0</v>
      </c>
      <c r="M36" s="8" t="n">
        <f aca="false">INDEX(Assumptions!$D$106:$D$117,M$6)*Assumptions!$F$62*CHOOSE(M$5,Assumptions!$F$58,Assumptions!$F$59,Assumptions!$F$60)*Assumptions!$F$63</f>
        <v>480</v>
      </c>
      <c r="N36" s="8" t="n">
        <f aca="false">INDEX(Assumptions!$D$106:$D$117,N$6)*Assumptions!$F$62*CHOOSE(N$5,Assumptions!$F$58,Assumptions!$F$59,Assumptions!$F$60)*Assumptions!$F$63</f>
        <v>1440</v>
      </c>
      <c r="O36" s="8" t="n">
        <f aca="false">INDEX(Assumptions!$D$106:$D$117,O$6)*Assumptions!$F$62*CHOOSE(O$5,Assumptions!$F$58,Assumptions!$F$59,Assumptions!$F$60)*Assumptions!$F$63</f>
        <v>0</v>
      </c>
      <c r="P36" s="8" t="n">
        <f aca="false">INDEX(Assumptions!$D$106:$D$117,P$6)*Assumptions!$F$62*CHOOSE(P$5,Assumptions!$F$58,Assumptions!$F$59,Assumptions!$F$60)*Assumptions!$F$63</f>
        <v>0</v>
      </c>
      <c r="Q36" s="8" t="n">
        <f aca="false">INDEX(Assumptions!$D$106:$D$117,Q$6)*Assumptions!$F$62*CHOOSE(Q$5,Assumptions!$F$58,Assumptions!$F$59,Assumptions!$F$60)*Assumptions!$F$63</f>
        <v>0</v>
      </c>
      <c r="R36" s="8" t="n">
        <f aca="false">INDEX(Assumptions!$D$106:$D$117,R$6)*Assumptions!$F$62*CHOOSE(R$5,Assumptions!$F$58,Assumptions!$F$59,Assumptions!$F$60)*Assumptions!$F$63</f>
        <v>640</v>
      </c>
      <c r="S36" s="8" t="n">
        <f aca="false">INDEX(Assumptions!$D$106:$D$117,S$6)*Assumptions!$F$62*CHOOSE(S$5,Assumptions!$F$58,Assumptions!$F$59,Assumptions!$F$60)*Assumptions!$F$63</f>
        <v>0</v>
      </c>
      <c r="T36" s="8" t="n">
        <f aca="false">INDEX(Assumptions!$D$106:$D$117,T$6)*Assumptions!$F$62*CHOOSE(T$5,Assumptions!$F$58,Assumptions!$F$59,Assumptions!$F$60)*Assumptions!$F$63</f>
        <v>0</v>
      </c>
      <c r="U36" s="8" t="n">
        <f aca="false">INDEX(Assumptions!$D$106:$D$117,U$6)*Assumptions!$F$62*CHOOSE(U$5,Assumptions!$F$58,Assumptions!$F$59,Assumptions!$F$60)*Assumptions!$F$63</f>
        <v>0</v>
      </c>
      <c r="V36" s="8" t="n">
        <f aca="false">INDEX(Assumptions!$D$106:$D$117,V$6)*Assumptions!$F$62*CHOOSE(V$5,Assumptions!$F$58,Assumptions!$F$59,Assumptions!$F$60)*Assumptions!$F$63</f>
        <v>640</v>
      </c>
      <c r="W36" s="8" t="n">
        <f aca="false">INDEX(Assumptions!$D$106:$D$117,W$6)*Assumptions!$F$62*CHOOSE(W$5,Assumptions!$F$58,Assumptions!$F$59,Assumptions!$F$60)*Assumptions!$F$63</f>
        <v>0</v>
      </c>
      <c r="X36" s="8" t="n">
        <f aca="false">INDEX(Assumptions!$D$106:$D$117,X$6)*Assumptions!$F$62*CHOOSE(X$5,Assumptions!$F$58,Assumptions!$F$59,Assumptions!$F$60)*Assumptions!$F$63</f>
        <v>0</v>
      </c>
      <c r="Y36" s="8" t="n">
        <f aca="false">INDEX(Assumptions!$D$106:$D$117,Y$6)*Assumptions!$F$62*CHOOSE(Y$5,Assumptions!$F$58,Assumptions!$F$59,Assumptions!$F$60)*Assumptions!$F$63</f>
        <v>640</v>
      </c>
      <c r="Z36" s="8" t="n">
        <f aca="false">INDEX(Assumptions!$D$106:$D$117,Z$6)*Assumptions!$F$62*CHOOSE(Z$5,Assumptions!$F$58,Assumptions!$F$59,Assumptions!$F$60)*Assumptions!$F$63</f>
        <v>1920</v>
      </c>
      <c r="AA36" s="8" t="n">
        <f aca="false">INDEX(Assumptions!$D$106:$D$117,AA$6)*Assumptions!$F$62*CHOOSE(AA$5,Assumptions!$F$58,Assumptions!$F$59,Assumptions!$F$60)*Assumptions!$F$63</f>
        <v>0</v>
      </c>
      <c r="AB36" s="8" t="n">
        <f aca="false">INDEX(Assumptions!$D$106:$D$117,AB$6)*Assumptions!$F$62*CHOOSE(AB$5,Assumptions!$F$58,Assumptions!$F$59,Assumptions!$F$60)*Assumptions!$F$63</f>
        <v>0</v>
      </c>
      <c r="AC36" s="8" t="n">
        <f aca="false">INDEX(Assumptions!$D$106:$D$117,AC$6)*Assumptions!$F$62*CHOOSE(AC$5,Assumptions!$F$58,Assumptions!$F$59,Assumptions!$F$60)*Assumptions!$F$63</f>
        <v>0</v>
      </c>
      <c r="AD36" s="8" t="n">
        <f aca="false">INDEX(Assumptions!$D$106:$D$117,AD$6)*Assumptions!$F$62*CHOOSE(AD$5,Assumptions!$F$58,Assumptions!$F$59,Assumptions!$F$60)*Assumptions!$F$63</f>
        <v>800</v>
      </c>
      <c r="AE36" s="8" t="n">
        <f aca="false">INDEX(Assumptions!$D$106:$D$117,AE$6)*Assumptions!$F$62*CHOOSE(AE$5,Assumptions!$F$58,Assumptions!$F$59,Assumptions!$F$60)*Assumptions!$F$63</f>
        <v>0</v>
      </c>
      <c r="AF36" s="8" t="n">
        <f aca="false">INDEX(Assumptions!$D$106:$D$117,AF$6)*Assumptions!$F$62*CHOOSE(AF$5,Assumptions!$F$58,Assumptions!$F$59,Assumptions!$F$60)*Assumptions!$F$63</f>
        <v>0</v>
      </c>
      <c r="AG36" s="8" t="n">
        <f aca="false">INDEX(Assumptions!$D$106:$D$117,AG$6)*Assumptions!$F$62*CHOOSE(AG$5,Assumptions!$F$58,Assumptions!$F$59,Assumptions!$F$60)*Assumptions!$F$63</f>
        <v>0</v>
      </c>
      <c r="AH36" s="8" t="n">
        <f aca="false">INDEX(Assumptions!$D$106:$D$117,AH$6)*Assumptions!$F$62*CHOOSE(AH$5,Assumptions!$F$58,Assumptions!$F$59,Assumptions!$F$60)*Assumptions!$F$63</f>
        <v>800</v>
      </c>
      <c r="AI36" s="8" t="n">
        <f aca="false">INDEX(Assumptions!$D$106:$D$117,AI$6)*Assumptions!$F$62*CHOOSE(AI$5,Assumptions!$F$58,Assumptions!$F$59,Assumptions!$F$60)*Assumptions!$F$63</f>
        <v>0</v>
      </c>
      <c r="AJ36" s="8" t="n">
        <f aca="false">INDEX(Assumptions!$D$106:$D$117,AJ$6)*Assumptions!$F$62*CHOOSE(AJ$5,Assumptions!$F$58,Assumptions!$F$59,Assumptions!$F$60)*Assumptions!$F$63</f>
        <v>0</v>
      </c>
      <c r="AK36" s="8" t="n">
        <f aca="false">INDEX(Assumptions!$D$106:$D$117,AK$6)*Assumptions!$F$62*CHOOSE(AK$5,Assumptions!$F$58,Assumptions!$F$59,Assumptions!$F$60)*Assumptions!$F$63</f>
        <v>800</v>
      </c>
      <c r="AL36" s="8" t="n">
        <f aca="false">INDEX(Assumptions!$D$106:$D$117,AL$6)*Assumptions!$F$62*CHOOSE(AL$5,Assumptions!$F$58,Assumptions!$F$59,Assumptions!$F$60)*Assumptions!$F$63</f>
        <v>2400</v>
      </c>
    </row>
    <row r="37" customFormat="false" ht="15" hidden="false" customHeight="false" outlineLevel="0" collapsed="false">
      <c r="B37" s="2" t="s">
        <v>271</v>
      </c>
      <c r="C37" s="8" t="n">
        <f aca="false">Assumptions!$F$66*Assumptions!$F$20/12*Assumptions!$F$24*Assumptions!$F$70*(1+Assumptions!$F$27)*(CHOOSE(C$5,Assumptions!$F$67,Assumptions!$F$68,Assumptions!$F$69)&gt;0)</f>
        <v>558.59375</v>
      </c>
      <c r="D37" s="8" t="n">
        <f aca="false">Assumptions!$F$66*Assumptions!$F$20/12*Assumptions!$F$24*Assumptions!$F$70*(1+Assumptions!$F$27)*(CHOOSE(D$5,Assumptions!$F$67,Assumptions!$F$68,Assumptions!$F$69)&gt;0)</f>
        <v>558.59375</v>
      </c>
      <c r="E37" s="8" t="n">
        <f aca="false">Assumptions!$F$66*Assumptions!$F$20/12*Assumptions!$F$24*Assumptions!$F$70*(1+Assumptions!$F$27)*(CHOOSE(E$5,Assumptions!$F$67,Assumptions!$F$68,Assumptions!$F$69)&gt;0)</f>
        <v>558.59375</v>
      </c>
      <c r="F37" s="8" t="n">
        <f aca="false">Assumptions!$F$66*Assumptions!$F$20/12*Assumptions!$F$24*Assumptions!$F$70*(1+Assumptions!$F$27)*(CHOOSE(F$5,Assumptions!$F$67,Assumptions!$F$68,Assumptions!$F$69)&gt;0)</f>
        <v>558.59375</v>
      </c>
      <c r="G37" s="8" t="n">
        <f aca="false">Assumptions!$F$66*Assumptions!$F$20/12*Assumptions!$F$24*Assumptions!$F$70*(1+Assumptions!$F$27)*(CHOOSE(G$5,Assumptions!$F$67,Assumptions!$F$68,Assumptions!$F$69)&gt;0)</f>
        <v>558.59375</v>
      </c>
      <c r="H37" s="8" t="n">
        <f aca="false">Assumptions!$F$66*Assumptions!$F$20/12*Assumptions!$F$24*Assumptions!$F$70*(1+Assumptions!$F$27)*(CHOOSE(H$5,Assumptions!$F$67,Assumptions!$F$68,Assumptions!$F$69)&gt;0)</f>
        <v>558.59375</v>
      </c>
      <c r="I37" s="8" t="n">
        <f aca="false">Assumptions!$F$66*Assumptions!$F$20/12*Assumptions!$F$24*Assumptions!$F$70*(1+Assumptions!$F$27)*(CHOOSE(I$5,Assumptions!$F$67,Assumptions!$F$68,Assumptions!$F$69)&gt;0)</f>
        <v>558.59375</v>
      </c>
      <c r="J37" s="8" t="n">
        <f aca="false">Assumptions!$F$66*Assumptions!$F$20/12*Assumptions!$F$24*Assumptions!$F$70*(1+Assumptions!$F$27)*(CHOOSE(J$5,Assumptions!$F$67,Assumptions!$F$68,Assumptions!$F$69)&gt;0)</f>
        <v>558.59375</v>
      </c>
      <c r="K37" s="8" t="n">
        <f aca="false">Assumptions!$F$66*Assumptions!$F$20/12*Assumptions!$F$24*Assumptions!$F$70*(1+Assumptions!$F$27)*(CHOOSE(K$5,Assumptions!$F$67,Assumptions!$F$68,Assumptions!$F$69)&gt;0)</f>
        <v>558.59375</v>
      </c>
      <c r="L37" s="8" t="n">
        <f aca="false">Assumptions!$F$66*Assumptions!$F$20/12*Assumptions!$F$24*Assumptions!$F$70*(1+Assumptions!$F$27)*(CHOOSE(L$5,Assumptions!$F$67,Assumptions!$F$68,Assumptions!$F$69)&gt;0)</f>
        <v>558.59375</v>
      </c>
      <c r="M37" s="8" t="n">
        <f aca="false">Assumptions!$F$66*Assumptions!$F$20/12*Assumptions!$F$24*Assumptions!$F$70*(1+Assumptions!$F$27)*(CHOOSE(M$5,Assumptions!$F$67,Assumptions!$F$68,Assumptions!$F$69)&gt;0)</f>
        <v>558.59375</v>
      </c>
      <c r="N37" s="8" t="n">
        <f aca="false">Assumptions!$F$66*Assumptions!$F$20/12*Assumptions!$F$24*Assumptions!$F$70*(1+Assumptions!$F$27)*(CHOOSE(N$5,Assumptions!$F$67,Assumptions!$F$68,Assumptions!$F$69)&gt;0)</f>
        <v>558.59375</v>
      </c>
      <c r="O37" s="8" t="n">
        <f aca="false">Assumptions!$F$66*Assumptions!$F$20/12*Assumptions!$F$24*Assumptions!$F$70*(1+Assumptions!$F$27)*(CHOOSE(O$5,Assumptions!$F$67,Assumptions!$F$68,Assumptions!$F$69)&gt;0)</f>
        <v>558.59375</v>
      </c>
      <c r="P37" s="8" t="n">
        <f aca="false">Assumptions!$F$66*Assumptions!$F$20/12*Assumptions!$F$24*Assumptions!$F$70*(1+Assumptions!$F$27)*(CHOOSE(P$5,Assumptions!$F$67,Assumptions!$F$68,Assumptions!$F$69)&gt;0)</f>
        <v>558.59375</v>
      </c>
      <c r="Q37" s="8" t="n">
        <f aca="false">Assumptions!$F$66*Assumptions!$F$20/12*Assumptions!$F$24*Assumptions!$F$70*(1+Assumptions!$F$27)*(CHOOSE(Q$5,Assumptions!$F$67,Assumptions!$F$68,Assumptions!$F$69)&gt;0)</f>
        <v>558.59375</v>
      </c>
      <c r="R37" s="8" t="n">
        <f aca="false">Assumptions!$F$66*Assumptions!$F$20/12*Assumptions!$F$24*Assumptions!$F$70*(1+Assumptions!$F$27)*(CHOOSE(R$5,Assumptions!$F$67,Assumptions!$F$68,Assumptions!$F$69)&gt;0)</f>
        <v>558.59375</v>
      </c>
      <c r="S37" s="8" t="n">
        <f aca="false">Assumptions!$F$66*Assumptions!$F$20/12*Assumptions!$F$24*Assumptions!$F$70*(1+Assumptions!$F$27)*(CHOOSE(S$5,Assumptions!$F$67,Assumptions!$F$68,Assumptions!$F$69)&gt;0)</f>
        <v>558.59375</v>
      </c>
      <c r="T37" s="8" t="n">
        <f aca="false">Assumptions!$F$66*Assumptions!$F$20/12*Assumptions!$F$24*Assumptions!$F$70*(1+Assumptions!$F$27)*(CHOOSE(T$5,Assumptions!$F$67,Assumptions!$F$68,Assumptions!$F$69)&gt;0)</f>
        <v>558.59375</v>
      </c>
      <c r="U37" s="8" t="n">
        <f aca="false">Assumptions!$F$66*Assumptions!$F$20/12*Assumptions!$F$24*Assumptions!$F$70*(1+Assumptions!$F$27)*(CHOOSE(U$5,Assumptions!$F$67,Assumptions!$F$68,Assumptions!$F$69)&gt;0)</f>
        <v>558.59375</v>
      </c>
      <c r="V37" s="8" t="n">
        <f aca="false">Assumptions!$F$66*Assumptions!$F$20/12*Assumptions!$F$24*Assumptions!$F$70*(1+Assumptions!$F$27)*(CHOOSE(V$5,Assumptions!$F$67,Assumptions!$F$68,Assumptions!$F$69)&gt;0)</f>
        <v>558.59375</v>
      </c>
      <c r="W37" s="8" t="n">
        <f aca="false">Assumptions!$F$66*Assumptions!$F$20/12*Assumptions!$F$24*Assumptions!$F$70*(1+Assumptions!$F$27)*(CHOOSE(W$5,Assumptions!$F$67,Assumptions!$F$68,Assumptions!$F$69)&gt;0)</f>
        <v>558.59375</v>
      </c>
      <c r="X37" s="8" t="n">
        <f aca="false">Assumptions!$F$66*Assumptions!$F$20/12*Assumptions!$F$24*Assumptions!$F$70*(1+Assumptions!$F$27)*(CHOOSE(X$5,Assumptions!$F$67,Assumptions!$F$68,Assumptions!$F$69)&gt;0)</f>
        <v>558.59375</v>
      </c>
      <c r="Y37" s="8" t="n">
        <f aca="false">Assumptions!$F$66*Assumptions!$F$20/12*Assumptions!$F$24*Assumptions!$F$70*(1+Assumptions!$F$27)*(CHOOSE(Y$5,Assumptions!$F$67,Assumptions!$F$68,Assumptions!$F$69)&gt;0)</f>
        <v>558.59375</v>
      </c>
      <c r="Z37" s="8" t="n">
        <f aca="false">Assumptions!$F$66*Assumptions!$F$20/12*Assumptions!$F$24*Assumptions!$F$70*(1+Assumptions!$F$27)*(CHOOSE(Z$5,Assumptions!$F$67,Assumptions!$F$68,Assumptions!$F$69)&gt;0)</f>
        <v>558.59375</v>
      </c>
      <c r="AA37" s="8" t="n">
        <f aca="false">Assumptions!$F$66*Assumptions!$F$20/12*Assumptions!$F$24*Assumptions!$F$70*(1+Assumptions!$F$27)*(CHOOSE(AA$5,Assumptions!$F$67,Assumptions!$F$68,Assumptions!$F$69)&gt;0)</f>
        <v>558.59375</v>
      </c>
      <c r="AB37" s="8" t="n">
        <f aca="false">Assumptions!$F$66*Assumptions!$F$20/12*Assumptions!$F$24*Assumptions!$F$70*(1+Assumptions!$F$27)*(CHOOSE(AB$5,Assumptions!$F$67,Assumptions!$F$68,Assumptions!$F$69)&gt;0)</f>
        <v>558.59375</v>
      </c>
      <c r="AC37" s="8" t="n">
        <f aca="false">Assumptions!$F$66*Assumptions!$F$20/12*Assumptions!$F$24*Assumptions!$F$70*(1+Assumptions!$F$27)*(CHOOSE(AC$5,Assumptions!$F$67,Assumptions!$F$68,Assumptions!$F$69)&gt;0)</f>
        <v>558.59375</v>
      </c>
      <c r="AD37" s="8" t="n">
        <f aca="false">Assumptions!$F$66*Assumptions!$F$20/12*Assumptions!$F$24*Assumptions!$F$70*(1+Assumptions!$F$27)*(CHOOSE(AD$5,Assumptions!$F$67,Assumptions!$F$68,Assumptions!$F$69)&gt;0)</f>
        <v>558.59375</v>
      </c>
      <c r="AE37" s="8" t="n">
        <f aca="false">Assumptions!$F$66*Assumptions!$F$20/12*Assumptions!$F$24*Assumptions!$F$70*(1+Assumptions!$F$27)*(CHOOSE(AE$5,Assumptions!$F$67,Assumptions!$F$68,Assumptions!$F$69)&gt;0)</f>
        <v>558.59375</v>
      </c>
      <c r="AF37" s="8" t="n">
        <f aca="false">Assumptions!$F$66*Assumptions!$F$20/12*Assumptions!$F$24*Assumptions!$F$70*(1+Assumptions!$F$27)*(CHOOSE(AF$5,Assumptions!$F$67,Assumptions!$F$68,Assumptions!$F$69)&gt;0)</f>
        <v>558.59375</v>
      </c>
      <c r="AG37" s="8" t="n">
        <f aca="false">Assumptions!$F$66*Assumptions!$F$20/12*Assumptions!$F$24*Assumptions!$F$70*(1+Assumptions!$F$27)*(CHOOSE(AG$5,Assumptions!$F$67,Assumptions!$F$68,Assumptions!$F$69)&gt;0)</f>
        <v>558.59375</v>
      </c>
      <c r="AH37" s="8" t="n">
        <f aca="false">Assumptions!$F$66*Assumptions!$F$20/12*Assumptions!$F$24*Assumptions!$F$70*(1+Assumptions!$F$27)*(CHOOSE(AH$5,Assumptions!$F$67,Assumptions!$F$68,Assumptions!$F$69)&gt;0)</f>
        <v>558.59375</v>
      </c>
      <c r="AI37" s="8" t="n">
        <f aca="false">Assumptions!$F$66*Assumptions!$F$20/12*Assumptions!$F$24*Assumptions!$F$70*(1+Assumptions!$F$27)*(CHOOSE(AI$5,Assumptions!$F$67,Assumptions!$F$68,Assumptions!$F$69)&gt;0)</f>
        <v>558.59375</v>
      </c>
      <c r="AJ37" s="8" t="n">
        <f aca="false">Assumptions!$F$66*Assumptions!$F$20/12*Assumptions!$F$24*Assumptions!$F$70*(1+Assumptions!$F$27)*(CHOOSE(AJ$5,Assumptions!$F$67,Assumptions!$F$68,Assumptions!$F$69)&gt;0)</f>
        <v>558.59375</v>
      </c>
      <c r="AK37" s="8" t="n">
        <f aca="false">Assumptions!$F$66*Assumptions!$F$20/12*Assumptions!$F$24*Assumptions!$F$70*(1+Assumptions!$F$27)*(CHOOSE(AK$5,Assumptions!$F$67,Assumptions!$F$68,Assumptions!$F$69)&gt;0)</f>
        <v>558.59375</v>
      </c>
      <c r="AL37" s="8" t="n">
        <f aca="false">Assumptions!$F$66*Assumptions!$F$20/12*Assumptions!$F$24*Assumptions!$F$70*(1+Assumptions!$F$27)*(CHOOSE(AL$5,Assumptions!$F$67,Assumptions!$F$68,Assumptions!$F$69)&gt;0)</f>
        <v>558.59375</v>
      </c>
    </row>
    <row r="38" customFormat="false" ht="15" hidden="false" customHeight="false" outlineLevel="0" collapsed="false">
      <c r="B38" s="2" t="s">
        <v>272</v>
      </c>
      <c r="C38" s="8" t="n">
        <f aca="false">Assumptions!$F$77*Assumptions!$F$20/12*Assumptions!$F$28*(CHOOSE(C$5,Assumptions!$F$74,Assumptions!$F$75,Assumptions!$F$76)&gt;0)</f>
        <v>357.5</v>
      </c>
      <c r="D38" s="8" t="n">
        <f aca="false">Assumptions!$F$77*Assumptions!$F$20/12*Assumptions!$F$28*(CHOOSE(D$5,Assumptions!$F$74,Assumptions!$F$75,Assumptions!$F$76)&gt;0)</f>
        <v>357.5</v>
      </c>
      <c r="E38" s="8" t="n">
        <f aca="false">Assumptions!$F$77*Assumptions!$F$20/12*Assumptions!$F$28*(CHOOSE(E$5,Assumptions!$F$74,Assumptions!$F$75,Assumptions!$F$76)&gt;0)</f>
        <v>357.5</v>
      </c>
      <c r="F38" s="8" t="n">
        <f aca="false">Assumptions!$F$77*Assumptions!$F$20/12*Assumptions!$F$28*(CHOOSE(F$5,Assumptions!$F$74,Assumptions!$F$75,Assumptions!$F$76)&gt;0)</f>
        <v>357.5</v>
      </c>
      <c r="G38" s="8" t="n">
        <f aca="false">Assumptions!$F$77*Assumptions!$F$20/12*Assumptions!$F$28*(CHOOSE(G$5,Assumptions!$F$74,Assumptions!$F$75,Assumptions!$F$76)&gt;0)</f>
        <v>357.5</v>
      </c>
      <c r="H38" s="8" t="n">
        <f aca="false">Assumptions!$F$77*Assumptions!$F$20/12*Assumptions!$F$28*(CHOOSE(H$5,Assumptions!$F$74,Assumptions!$F$75,Assumptions!$F$76)&gt;0)</f>
        <v>357.5</v>
      </c>
      <c r="I38" s="8" t="n">
        <f aca="false">Assumptions!$F$77*Assumptions!$F$20/12*Assumptions!$F$28*(CHOOSE(I$5,Assumptions!$F$74,Assumptions!$F$75,Assumptions!$F$76)&gt;0)</f>
        <v>357.5</v>
      </c>
      <c r="J38" s="8" t="n">
        <f aca="false">Assumptions!$F$77*Assumptions!$F$20/12*Assumptions!$F$28*(CHOOSE(J$5,Assumptions!$F$74,Assumptions!$F$75,Assumptions!$F$76)&gt;0)</f>
        <v>357.5</v>
      </c>
      <c r="K38" s="8" t="n">
        <f aca="false">Assumptions!$F$77*Assumptions!$F$20/12*Assumptions!$F$28*(CHOOSE(K$5,Assumptions!$F$74,Assumptions!$F$75,Assumptions!$F$76)&gt;0)</f>
        <v>357.5</v>
      </c>
      <c r="L38" s="8" t="n">
        <f aca="false">Assumptions!$F$77*Assumptions!$F$20/12*Assumptions!$F$28*(CHOOSE(L$5,Assumptions!$F$74,Assumptions!$F$75,Assumptions!$F$76)&gt;0)</f>
        <v>357.5</v>
      </c>
      <c r="M38" s="8" t="n">
        <f aca="false">Assumptions!$F$77*Assumptions!$F$20/12*Assumptions!$F$28*(CHOOSE(M$5,Assumptions!$F$74,Assumptions!$F$75,Assumptions!$F$76)&gt;0)</f>
        <v>357.5</v>
      </c>
      <c r="N38" s="8" t="n">
        <f aca="false">Assumptions!$F$77*Assumptions!$F$20/12*Assumptions!$F$28*(CHOOSE(N$5,Assumptions!$F$74,Assumptions!$F$75,Assumptions!$F$76)&gt;0)</f>
        <v>357.5</v>
      </c>
      <c r="O38" s="8" t="n">
        <f aca="false">Assumptions!$F$77*Assumptions!$F$20/12*Assumptions!$F$28*(CHOOSE(O$5,Assumptions!$F$74,Assumptions!$F$75,Assumptions!$F$76)&gt;0)</f>
        <v>357.5</v>
      </c>
      <c r="P38" s="8" t="n">
        <f aca="false">Assumptions!$F$77*Assumptions!$F$20/12*Assumptions!$F$28*(CHOOSE(P$5,Assumptions!$F$74,Assumptions!$F$75,Assumptions!$F$76)&gt;0)</f>
        <v>357.5</v>
      </c>
      <c r="Q38" s="8" t="n">
        <f aca="false">Assumptions!$F$77*Assumptions!$F$20/12*Assumptions!$F$28*(CHOOSE(Q$5,Assumptions!$F$74,Assumptions!$F$75,Assumptions!$F$76)&gt;0)</f>
        <v>357.5</v>
      </c>
      <c r="R38" s="8" t="n">
        <f aca="false">Assumptions!$F$77*Assumptions!$F$20/12*Assumptions!$F$28*(CHOOSE(R$5,Assumptions!$F$74,Assumptions!$F$75,Assumptions!$F$76)&gt;0)</f>
        <v>357.5</v>
      </c>
      <c r="S38" s="8" t="n">
        <f aca="false">Assumptions!$F$77*Assumptions!$F$20/12*Assumptions!$F$28*(CHOOSE(S$5,Assumptions!$F$74,Assumptions!$F$75,Assumptions!$F$76)&gt;0)</f>
        <v>357.5</v>
      </c>
      <c r="T38" s="8" t="n">
        <f aca="false">Assumptions!$F$77*Assumptions!$F$20/12*Assumptions!$F$28*(CHOOSE(T$5,Assumptions!$F$74,Assumptions!$F$75,Assumptions!$F$76)&gt;0)</f>
        <v>357.5</v>
      </c>
      <c r="U38" s="8" t="n">
        <f aca="false">Assumptions!$F$77*Assumptions!$F$20/12*Assumptions!$F$28*(CHOOSE(U$5,Assumptions!$F$74,Assumptions!$F$75,Assumptions!$F$76)&gt;0)</f>
        <v>357.5</v>
      </c>
      <c r="V38" s="8" t="n">
        <f aca="false">Assumptions!$F$77*Assumptions!$F$20/12*Assumptions!$F$28*(CHOOSE(V$5,Assumptions!$F$74,Assumptions!$F$75,Assumptions!$F$76)&gt;0)</f>
        <v>357.5</v>
      </c>
      <c r="W38" s="8" t="n">
        <f aca="false">Assumptions!$F$77*Assumptions!$F$20/12*Assumptions!$F$28*(CHOOSE(W$5,Assumptions!$F$74,Assumptions!$F$75,Assumptions!$F$76)&gt;0)</f>
        <v>357.5</v>
      </c>
      <c r="X38" s="8" t="n">
        <f aca="false">Assumptions!$F$77*Assumptions!$F$20/12*Assumptions!$F$28*(CHOOSE(X$5,Assumptions!$F$74,Assumptions!$F$75,Assumptions!$F$76)&gt;0)</f>
        <v>357.5</v>
      </c>
      <c r="Y38" s="8" t="n">
        <f aca="false">Assumptions!$F$77*Assumptions!$F$20/12*Assumptions!$F$28*(CHOOSE(Y$5,Assumptions!$F$74,Assumptions!$F$75,Assumptions!$F$76)&gt;0)</f>
        <v>357.5</v>
      </c>
      <c r="Z38" s="8" t="n">
        <f aca="false">Assumptions!$F$77*Assumptions!$F$20/12*Assumptions!$F$28*(CHOOSE(Z$5,Assumptions!$F$74,Assumptions!$F$75,Assumptions!$F$76)&gt;0)</f>
        <v>357.5</v>
      </c>
      <c r="AA38" s="8" t="n">
        <f aca="false">Assumptions!$F$77*Assumptions!$F$20/12*Assumptions!$F$28*(CHOOSE(AA$5,Assumptions!$F$74,Assumptions!$F$75,Assumptions!$F$76)&gt;0)</f>
        <v>357.5</v>
      </c>
      <c r="AB38" s="8" t="n">
        <f aca="false">Assumptions!$F$77*Assumptions!$F$20/12*Assumptions!$F$28*(CHOOSE(AB$5,Assumptions!$F$74,Assumptions!$F$75,Assumptions!$F$76)&gt;0)</f>
        <v>357.5</v>
      </c>
      <c r="AC38" s="8" t="n">
        <f aca="false">Assumptions!$F$77*Assumptions!$F$20/12*Assumptions!$F$28*(CHOOSE(AC$5,Assumptions!$F$74,Assumptions!$F$75,Assumptions!$F$76)&gt;0)</f>
        <v>357.5</v>
      </c>
      <c r="AD38" s="8" t="n">
        <f aca="false">Assumptions!$F$77*Assumptions!$F$20/12*Assumptions!$F$28*(CHOOSE(AD$5,Assumptions!$F$74,Assumptions!$F$75,Assumptions!$F$76)&gt;0)</f>
        <v>357.5</v>
      </c>
      <c r="AE38" s="8" t="n">
        <f aca="false">Assumptions!$F$77*Assumptions!$F$20/12*Assumptions!$F$28*(CHOOSE(AE$5,Assumptions!$F$74,Assumptions!$F$75,Assumptions!$F$76)&gt;0)</f>
        <v>357.5</v>
      </c>
      <c r="AF38" s="8" t="n">
        <f aca="false">Assumptions!$F$77*Assumptions!$F$20/12*Assumptions!$F$28*(CHOOSE(AF$5,Assumptions!$F$74,Assumptions!$F$75,Assumptions!$F$76)&gt;0)</f>
        <v>357.5</v>
      </c>
      <c r="AG38" s="8" t="n">
        <f aca="false">Assumptions!$F$77*Assumptions!$F$20/12*Assumptions!$F$28*(CHOOSE(AG$5,Assumptions!$F$74,Assumptions!$F$75,Assumptions!$F$76)&gt;0)</f>
        <v>357.5</v>
      </c>
      <c r="AH38" s="8" t="n">
        <f aca="false">Assumptions!$F$77*Assumptions!$F$20/12*Assumptions!$F$28*(CHOOSE(AH$5,Assumptions!$F$74,Assumptions!$F$75,Assumptions!$F$76)&gt;0)</f>
        <v>357.5</v>
      </c>
      <c r="AI38" s="8" t="n">
        <f aca="false">Assumptions!$F$77*Assumptions!$F$20/12*Assumptions!$F$28*(CHOOSE(AI$5,Assumptions!$F$74,Assumptions!$F$75,Assumptions!$F$76)&gt;0)</f>
        <v>357.5</v>
      </c>
      <c r="AJ38" s="8" t="n">
        <f aca="false">Assumptions!$F$77*Assumptions!$F$20/12*Assumptions!$F$28*(CHOOSE(AJ$5,Assumptions!$F$74,Assumptions!$F$75,Assumptions!$F$76)&gt;0)</f>
        <v>357.5</v>
      </c>
      <c r="AK38" s="8" t="n">
        <f aca="false">Assumptions!$F$77*Assumptions!$F$20/12*Assumptions!$F$28*(CHOOSE(AK$5,Assumptions!$F$74,Assumptions!$F$75,Assumptions!$F$76)&gt;0)</f>
        <v>357.5</v>
      </c>
      <c r="AL38" s="8" t="n">
        <f aca="false">Assumptions!$F$77*Assumptions!$F$20/12*Assumptions!$F$28*(CHOOSE(AL$5,Assumptions!$F$74,Assumptions!$F$75,Assumptions!$F$76)&gt;0)</f>
        <v>357.5</v>
      </c>
    </row>
    <row r="39" customFormat="false" ht="15" hidden="false" customHeight="false" outlineLevel="0" collapsed="false">
      <c r="B39" s="2" t="s">
        <v>273</v>
      </c>
      <c r="C39" s="8" t="n">
        <f aca="false">Assumptions!$F$86*Assumptions!$F$20/12*Assumptions!$F$28</f>
        <v>715</v>
      </c>
      <c r="D39" s="8" t="n">
        <f aca="false">Assumptions!$F$86*Assumptions!$F$20/12*Assumptions!$F$28</f>
        <v>715</v>
      </c>
      <c r="E39" s="8" t="n">
        <f aca="false">Assumptions!$F$86*Assumptions!$F$20/12*Assumptions!$F$28</f>
        <v>715</v>
      </c>
      <c r="F39" s="8" t="n">
        <f aca="false">Assumptions!$F$86*Assumptions!$F$20/12*Assumptions!$F$28</f>
        <v>715</v>
      </c>
      <c r="G39" s="8" t="n">
        <f aca="false">Assumptions!$F$86*Assumptions!$F$20/12*Assumptions!$F$28</f>
        <v>715</v>
      </c>
      <c r="H39" s="8" t="n">
        <f aca="false">Assumptions!$F$86*Assumptions!$F$20/12*Assumptions!$F$28</f>
        <v>715</v>
      </c>
      <c r="I39" s="8" t="n">
        <f aca="false">Assumptions!$F$86*Assumptions!$F$20/12*Assumptions!$F$28</f>
        <v>715</v>
      </c>
      <c r="J39" s="8" t="n">
        <f aca="false">Assumptions!$F$86*Assumptions!$F$20/12*Assumptions!$F$28</f>
        <v>715</v>
      </c>
      <c r="K39" s="8" t="n">
        <f aca="false">Assumptions!$F$86*Assumptions!$F$20/12*Assumptions!$F$28</f>
        <v>715</v>
      </c>
      <c r="L39" s="8" t="n">
        <f aca="false">Assumptions!$F$86*Assumptions!$F$20/12*Assumptions!$F$28</f>
        <v>715</v>
      </c>
      <c r="M39" s="8" t="n">
        <f aca="false">Assumptions!$F$86*Assumptions!$F$20/12*Assumptions!$F$28</f>
        <v>715</v>
      </c>
      <c r="N39" s="8" t="n">
        <f aca="false">Assumptions!$F$86*Assumptions!$F$20/12*Assumptions!$F$28</f>
        <v>715</v>
      </c>
      <c r="O39" s="8" t="n">
        <f aca="false">Assumptions!$F$86*Assumptions!$F$20/12*Assumptions!$F$28</f>
        <v>715</v>
      </c>
      <c r="P39" s="8" t="n">
        <f aca="false">Assumptions!$F$86*Assumptions!$F$20/12*Assumptions!$F$28</f>
        <v>715</v>
      </c>
      <c r="Q39" s="8" t="n">
        <f aca="false">Assumptions!$F$86*Assumptions!$F$20/12*Assumptions!$F$28</f>
        <v>715</v>
      </c>
      <c r="R39" s="8" t="n">
        <f aca="false">Assumptions!$F$86*Assumptions!$F$20/12*Assumptions!$F$28</f>
        <v>715</v>
      </c>
      <c r="S39" s="8" t="n">
        <f aca="false">Assumptions!$F$86*Assumptions!$F$20/12*Assumptions!$F$28</f>
        <v>715</v>
      </c>
      <c r="T39" s="8" t="n">
        <f aca="false">Assumptions!$F$86*Assumptions!$F$20/12*Assumptions!$F$28</f>
        <v>715</v>
      </c>
      <c r="U39" s="8" t="n">
        <f aca="false">Assumptions!$F$86*Assumptions!$F$20/12*Assumptions!$F$28</f>
        <v>715</v>
      </c>
      <c r="V39" s="8" t="n">
        <f aca="false">Assumptions!$F$86*Assumptions!$F$20/12*Assumptions!$F$28</f>
        <v>715</v>
      </c>
      <c r="W39" s="8" t="n">
        <f aca="false">Assumptions!$F$86*Assumptions!$F$20/12*Assumptions!$F$28</f>
        <v>715</v>
      </c>
      <c r="X39" s="8" t="n">
        <f aca="false">Assumptions!$F$86*Assumptions!$F$20/12*Assumptions!$F$28</f>
        <v>715</v>
      </c>
      <c r="Y39" s="8" t="n">
        <f aca="false">Assumptions!$F$86*Assumptions!$F$20/12*Assumptions!$F$28</f>
        <v>715</v>
      </c>
      <c r="Z39" s="8" t="n">
        <f aca="false">Assumptions!$F$86*Assumptions!$F$20/12*Assumptions!$F$28</f>
        <v>715</v>
      </c>
      <c r="AA39" s="8" t="n">
        <f aca="false">Assumptions!$F$86*Assumptions!$F$20/12*Assumptions!$F$28</f>
        <v>715</v>
      </c>
      <c r="AB39" s="8" t="n">
        <f aca="false">Assumptions!$F$86*Assumptions!$F$20/12*Assumptions!$F$28</f>
        <v>715</v>
      </c>
      <c r="AC39" s="8" t="n">
        <f aca="false">Assumptions!$F$86*Assumptions!$F$20/12*Assumptions!$F$28</f>
        <v>715</v>
      </c>
      <c r="AD39" s="8" t="n">
        <f aca="false">Assumptions!$F$86*Assumptions!$F$20/12*Assumptions!$F$28</f>
        <v>715</v>
      </c>
      <c r="AE39" s="8" t="n">
        <f aca="false">Assumptions!$F$86*Assumptions!$F$20/12*Assumptions!$F$28</f>
        <v>715</v>
      </c>
      <c r="AF39" s="8" t="n">
        <f aca="false">Assumptions!$F$86*Assumptions!$F$20/12*Assumptions!$F$28</f>
        <v>715</v>
      </c>
      <c r="AG39" s="8" t="n">
        <f aca="false">Assumptions!$F$86*Assumptions!$F$20/12*Assumptions!$F$28</f>
        <v>715</v>
      </c>
      <c r="AH39" s="8" t="n">
        <f aca="false">Assumptions!$F$86*Assumptions!$F$20/12*Assumptions!$F$28</f>
        <v>715</v>
      </c>
      <c r="AI39" s="8" t="n">
        <f aca="false">Assumptions!$F$86*Assumptions!$F$20/12*Assumptions!$F$28</f>
        <v>715</v>
      </c>
      <c r="AJ39" s="8" t="n">
        <f aca="false">Assumptions!$F$86*Assumptions!$F$20/12*Assumptions!$F$28</f>
        <v>715</v>
      </c>
      <c r="AK39" s="8" t="n">
        <f aca="false">Assumptions!$F$86*Assumptions!$F$20/12*Assumptions!$F$28</f>
        <v>715</v>
      </c>
      <c r="AL39" s="8" t="n">
        <f aca="false">Assumptions!$F$86*Assumptions!$F$20/12*Assumptions!$F$28</f>
        <v>715</v>
      </c>
    </row>
    <row r="40" customFormat="false" ht="15" hidden="false" customHeight="false" outlineLevel="0" collapsed="false">
      <c r="B40" s="2" t="s">
        <v>93</v>
      </c>
      <c r="C40" s="8" t="n">
        <f aca="false">SUM(C16:C22,C24:C25)/(1-Assumptions!$F$21)*Assumptions!$F$22</f>
        <v>178.64</v>
      </c>
      <c r="D40" s="8" t="n">
        <f aca="false">SUM(D16:D22,D24:D25)/(1-Assumptions!$F$21)*Assumptions!$F$22</f>
        <v>229.755</v>
      </c>
      <c r="E40" s="8" t="n">
        <f aca="false">SUM(E16:E22,E24:E25)/(1-Assumptions!$F$21)*Assumptions!$F$22</f>
        <v>196.87</v>
      </c>
      <c r="F40" s="8" t="n">
        <f aca="false">SUM(F16:F22,F24:F25)/(1-Assumptions!$F$21)*Assumptions!$F$22</f>
        <v>289.985</v>
      </c>
      <c r="G40" s="8" t="n">
        <f aca="false">SUM(G16:G22,G24:G25)/(1-Assumptions!$F$21)*Assumptions!$F$22</f>
        <v>215.1</v>
      </c>
      <c r="H40" s="8" t="n">
        <f aca="false">SUM(H16:H22,H24:H25)/(1-Assumptions!$F$21)*Assumptions!$F$22</f>
        <v>266.215</v>
      </c>
      <c r="I40" s="8" t="n">
        <f aca="false">SUM(I16:I22,I24:I25)/(1-Assumptions!$F$21)*Assumptions!$F$22</f>
        <v>233.33</v>
      </c>
      <c r="J40" s="8" t="n">
        <f aca="false">SUM(J16:J22,J24:J25)/(1-Assumptions!$F$21)*Assumptions!$F$22</f>
        <v>326.445</v>
      </c>
      <c r="K40" s="8" t="n">
        <f aca="false">SUM(K16:K22,K24:K25)/(1-Assumptions!$F$21)*Assumptions!$F$22</f>
        <v>293.56</v>
      </c>
      <c r="L40" s="8" t="n">
        <f aca="false">SUM(L16:L22,L24:L25)/(1-Assumptions!$F$21)*Assumptions!$F$22</f>
        <v>260.675</v>
      </c>
      <c r="M40" s="8" t="n">
        <f aca="false">SUM(M16:M22,M24:M25)/(1-Assumptions!$F$21)*Assumptions!$F$22</f>
        <v>353.79</v>
      </c>
      <c r="N40" s="8" t="n">
        <f aca="false">SUM(N16:N22,N24:N25)/(1-Assumptions!$F$21)*Assumptions!$F$22</f>
        <v>446.905</v>
      </c>
      <c r="O40" s="8" t="n">
        <f aca="false">SUM(O16:O22,O24:O25)/(1-Assumptions!$F$21)*Assumptions!$F$22</f>
        <v>328.313333333333</v>
      </c>
      <c r="P40" s="8" t="n">
        <f aca="false">SUM(P16:P22,P24:P25)/(1-Assumptions!$F$21)*Assumptions!$F$22</f>
        <v>424.109166666667</v>
      </c>
      <c r="Q40" s="8" t="n">
        <f aca="false">SUM(Q16:Q22,Q24:Q25)/(1-Assumptions!$F$21)*Assumptions!$F$22</f>
        <v>343.505</v>
      </c>
      <c r="R40" s="8" t="n">
        <f aca="false">SUM(R16:R22,R24:R25)/(1-Assumptions!$F$21)*Assumptions!$F$22</f>
        <v>527.500833333333</v>
      </c>
      <c r="S40" s="8" t="n">
        <f aca="false">SUM(S16:S22,S24:S25)/(1-Assumptions!$F$21)*Assumptions!$F$22</f>
        <v>358.696666666667</v>
      </c>
      <c r="T40" s="8" t="n">
        <f aca="false">SUM(T16:T22,T24:T25)/(1-Assumptions!$F$21)*Assumptions!$F$22</f>
        <v>454.4925</v>
      </c>
      <c r="U40" s="8" t="n">
        <f aca="false">SUM(U16:U22,U24:U25)/(1-Assumptions!$F$21)*Assumptions!$F$22</f>
        <v>373.888333333333</v>
      </c>
      <c r="V40" s="8" t="n">
        <f aca="false">SUM(V16:V22,V24:V25)/(1-Assumptions!$F$21)*Assumptions!$F$22</f>
        <v>557.884166666667</v>
      </c>
      <c r="W40" s="8" t="n">
        <f aca="false">SUM(W16:W22,W24:W25)/(1-Assumptions!$F$21)*Assumptions!$F$22</f>
        <v>477.28</v>
      </c>
      <c r="X40" s="8" t="n">
        <f aca="false">SUM(X16:X22,X24:X25)/(1-Assumptions!$F$21)*Assumptions!$F$22</f>
        <v>396.675833333333</v>
      </c>
      <c r="Y40" s="8" t="n">
        <f aca="false">SUM(Y16:Y22,Y24:Y25)/(1-Assumptions!$F$21)*Assumptions!$F$22</f>
        <v>580.671666666667</v>
      </c>
      <c r="Z40" s="8" t="n">
        <f aca="false">SUM(Z16:Z22,Z24:Z25)/(1-Assumptions!$F$21)*Assumptions!$F$22</f>
        <v>764.6675</v>
      </c>
      <c r="AA40" s="8" t="n">
        <f aca="false">SUM(AA16:AA22,AA24:AA25)/(1-Assumptions!$F$21)*Assumptions!$F$22</f>
        <v>457.356666666667</v>
      </c>
      <c r="AB40" s="8" t="n">
        <f aca="false">SUM(AB16:AB22,AB24:AB25)/(1-Assumptions!$F$21)*Assumptions!$F$22</f>
        <v>589.433333333333</v>
      </c>
      <c r="AC40" s="8" t="n">
        <f aca="false">SUM(AC16:AC22,AC24:AC25)/(1-Assumptions!$F$21)*Assumptions!$F$22</f>
        <v>469.51</v>
      </c>
      <c r="AD40" s="8" t="n">
        <f aca="false">SUM(AD16:AD22,AD24:AD25)/(1-Assumptions!$F$21)*Assumptions!$F$22</f>
        <v>727.586666666667</v>
      </c>
      <c r="AE40" s="8" t="n">
        <f aca="false">SUM(AE16:AE22,AE24:AE25)/(1-Assumptions!$F$21)*Assumptions!$F$22</f>
        <v>481.663333333333</v>
      </c>
      <c r="AF40" s="8" t="n">
        <f aca="false">SUM(AF16:AF22,AF24:AF25)/(1-Assumptions!$F$21)*Assumptions!$F$22</f>
        <v>613.74</v>
      </c>
      <c r="AG40" s="8" t="n">
        <f aca="false">SUM(AG16:AG22,AG24:AG25)/(1-Assumptions!$F$21)*Assumptions!$F$22</f>
        <v>493.816666666667</v>
      </c>
      <c r="AH40" s="8" t="n">
        <f aca="false">SUM(AH16:AH22,AH24:AH25)/(1-Assumptions!$F$21)*Assumptions!$F$22</f>
        <v>751.893333333333</v>
      </c>
      <c r="AI40" s="8" t="n">
        <f aca="false">SUM(AI16:AI22,AI24:AI25)/(1-Assumptions!$F$21)*Assumptions!$F$22</f>
        <v>631.97</v>
      </c>
      <c r="AJ40" s="8" t="n">
        <f aca="false">SUM(AJ16:AJ22,AJ24:AJ25)/(1-Assumptions!$F$21)*Assumptions!$F$22</f>
        <v>512.046666666667</v>
      </c>
      <c r="AK40" s="8" t="n">
        <f aca="false">SUM(AK16:AK22,AK24:AK25)/(1-Assumptions!$F$21)*Assumptions!$F$22</f>
        <v>770.123333333333</v>
      </c>
      <c r="AL40" s="8" t="n">
        <f aca="false">SUM(AL16:AL22,AL24:AL25)/(1-Assumptions!$F$21)*Assumptions!$F$22</f>
        <v>1028.2</v>
      </c>
    </row>
    <row r="41" customFormat="false" ht="15" hidden="false" customHeight="false" outlineLevel="0" collapsed="false">
      <c r="B41" s="9" t="s">
        <v>274</v>
      </c>
      <c r="C41" s="10" t="n">
        <f aca="false">SUM(C32:C40)</f>
        <v>4294.31708333333</v>
      </c>
      <c r="D41" s="10" t="n">
        <f aca="false">SUM(D32:D40)</f>
        <v>5448.18208333333</v>
      </c>
      <c r="E41" s="10" t="n">
        <f aca="false">SUM(E32:E40)</f>
        <v>4670.04708333333</v>
      </c>
      <c r="F41" s="10" t="n">
        <f aca="false">SUM(F32:F40)</f>
        <v>7091.16208333333</v>
      </c>
      <c r="G41" s="10" t="n">
        <f aca="false">SUM(G32:G40)</f>
        <v>4867.02708333333</v>
      </c>
      <c r="H41" s="10" t="n">
        <f aca="false">SUM(H32:H40)</f>
        <v>6020.89208333333</v>
      </c>
      <c r="I41" s="10" t="n">
        <f aca="false">SUM(I32:I40)</f>
        <v>5242.75708333333</v>
      </c>
      <c r="J41" s="10" t="n">
        <f aca="false">SUM(J32:J40)</f>
        <v>7842.62208333333</v>
      </c>
      <c r="K41" s="10" t="n">
        <f aca="false">SUM(K32:K40)</f>
        <v>6405.73708333333</v>
      </c>
      <c r="L41" s="10" t="n">
        <f aca="false">SUM(L32:L40)</f>
        <v>5627.60208333333</v>
      </c>
      <c r="M41" s="10" t="n">
        <f aca="false">SUM(M32:M40)</f>
        <v>8227.46708333334</v>
      </c>
      <c r="N41" s="10" t="n">
        <f aca="false">SUM(N32:N40)</f>
        <v>11307.3320833333</v>
      </c>
      <c r="O41" s="10" t="n">
        <f aca="false">SUM(O32:O40)</f>
        <v>6613.07375</v>
      </c>
      <c r="P41" s="10" t="n">
        <f aca="false">SUM(P32:P40)</f>
        <v>8966.61958333334</v>
      </c>
      <c r="Q41" s="10" t="n">
        <f aca="false">SUM(Q32:Q40)</f>
        <v>6985.76541666667</v>
      </c>
      <c r="R41" s="10" t="n">
        <f aca="false">SUM(R32:R40)</f>
        <v>11967.76125</v>
      </c>
      <c r="S41" s="10" t="n">
        <f aca="false">SUM(S32:S40)</f>
        <v>7179.70708333333</v>
      </c>
      <c r="T41" s="10" t="n">
        <f aca="false">SUM(T32:T40)</f>
        <v>9533.25291666667</v>
      </c>
      <c r="U41" s="10" t="n">
        <f aca="false">SUM(U32:U40)</f>
        <v>7373.64875</v>
      </c>
      <c r="V41" s="10" t="n">
        <f aca="false">SUM(V32:V40)</f>
        <v>12534.3945833333</v>
      </c>
      <c r="W41" s="10" t="n">
        <f aca="false">SUM(W32:W40)</f>
        <v>9913.54041666667</v>
      </c>
      <c r="X41" s="10" t="n">
        <f aca="false">SUM(X32:X40)</f>
        <v>7753.93625</v>
      </c>
      <c r="Y41" s="10" t="n">
        <f aca="false">SUM(Y32:Y40)</f>
        <v>12914.6820833333</v>
      </c>
      <c r="Z41" s="10" t="n">
        <f aca="false">SUM(Z32:Z40)</f>
        <v>18715.4279166667</v>
      </c>
      <c r="AA41" s="10" t="n">
        <f aca="false">SUM(AA32:AA40)</f>
        <v>8732.45041666667</v>
      </c>
      <c r="AB41" s="10" t="n">
        <f aca="false">SUM(AB32:AB40)</f>
        <v>11353.2770833333</v>
      </c>
      <c r="AC41" s="10" t="n">
        <f aca="false">SUM(AC32:AC40)</f>
        <v>8923.35375</v>
      </c>
      <c r="AD41" s="10" t="n">
        <f aca="false">SUM(AD32:AD40)</f>
        <v>14780.1804166667</v>
      </c>
      <c r="AE41" s="10" t="n">
        <f aca="false">SUM(AE32:AE40)</f>
        <v>9114.25708333334</v>
      </c>
      <c r="AF41" s="10" t="n">
        <f aca="false">SUM(AF32:AF40)</f>
        <v>11735.08375</v>
      </c>
      <c r="AG41" s="10" t="n">
        <f aca="false">SUM(AG32:AG40)</f>
        <v>9305.16041666667</v>
      </c>
      <c r="AH41" s="10" t="n">
        <f aca="false">SUM(AH32:AH40)</f>
        <v>15161.9870833333</v>
      </c>
      <c r="AI41" s="10" t="n">
        <f aca="false">SUM(AI32:AI40)</f>
        <v>11932.06375</v>
      </c>
      <c r="AJ41" s="10" t="n">
        <f aca="false">SUM(AJ32:AJ40)</f>
        <v>9680.89041666667</v>
      </c>
      <c r="AK41" s="10" t="n">
        <f aca="false">SUM(AK32:AK40)</f>
        <v>15358.9670833333</v>
      </c>
      <c r="AL41" s="10" t="n">
        <f aca="false">SUM(AL32:AL40)</f>
        <v>22015.79375</v>
      </c>
    </row>
    <row r="43" customFormat="false" ht="15" hidden="false" customHeight="false" outlineLevel="0" collapsed="false">
      <c r="B43" s="3" t="s">
        <v>275</v>
      </c>
      <c r="C43" s="13" t="n">
        <f aca="false">C29-C41</f>
        <v>4259.71291666667</v>
      </c>
      <c r="D43" s="13" t="n">
        <f aca="false">D29-D41</f>
        <v>5444.35916666667</v>
      </c>
      <c r="E43" s="13" t="n">
        <f aca="false">E29-E41</f>
        <v>4718.00541666667</v>
      </c>
      <c r="F43" s="13" t="n">
        <f aca="false">F29-F41</f>
        <v>8056.90166666667</v>
      </c>
      <c r="G43" s="13" t="n">
        <f aca="false">G29-G41</f>
        <v>5355.04791666667</v>
      </c>
      <c r="H43" s="13" t="n">
        <f aca="false">H29-H41</f>
        <v>6539.69416666667</v>
      </c>
      <c r="I43" s="13" t="n">
        <f aca="false">I29-I41</f>
        <v>5813.34041666667</v>
      </c>
      <c r="J43" s="13" t="n">
        <f aca="false">J29-J41</f>
        <v>8973.48666666667</v>
      </c>
      <c r="K43" s="13" t="n">
        <f aca="false">K29-K41</f>
        <v>7405.88291666667</v>
      </c>
      <c r="L43" s="13" t="n">
        <f aca="false">L29-L41</f>
        <v>6679.52916666667</v>
      </c>
      <c r="M43" s="13" t="n">
        <f aca="false">M29-M41</f>
        <v>9839.67541666667</v>
      </c>
      <c r="N43" s="13" t="n">
        <f aca="false">N29-N41</f>
        <v>14019.8216666667</v>
      </c>
      <c r="O43" s="13" t="n">
        <f aca="false">O29-O41</f>
        <v>9629.76125</v>
      </c>
      <c r="P43" s="13" t="n">
        <f aca="false">P29-P41</f>
        <v>11658.8747916667</v>
      </c>
      <c r="Q43" s="13" t="n">
        <f aca="false">Q29-Q41</f>
        <v>9952.08833333334</v>
      </c>
      <c r="R43" s="13" t="n">
        <f aca="false">R29-R41</f>
        <v>15387.901875</v>
      </c>
      <c r="S43" s="13" t="n">
        <f aca="false">S29-S41</f>
        <v>10453.1654166667</v>
      </c>
      <c r="T43" s="13" t="n">
        <f aca="false">T29-T41</f>
        <v>12482.2789583333</v>
      </c>
      <c r="U43" s="13" t="n">
        <f aca="false">U29-U41</f>
        <v>10954.2425</v>
      </c>
      <c r="V43" s="13" t="n">
        <f aca="false">V29-V41</f>
        <v>16211.3060416667</v>
      </c>
      <c r="W43" s="13" t="n">
        <f aca="false">W29-W41</f>
        <v>13144.5195833333</v>
      </c>
      <c r="X43" s="13" t="n">
        <f aca="false">X29-X41</f>
        <v>11616.483125</v>
      </c>
      <c r="Y43" s="13" t="n">
        <f aca="false">Y29-Y41</f>
        <v>16873.5466666667</v>
      </c>
      <c r="Z43" s="13" t="n">
        <f aca="false">Z29-Z41</f>
        <v>23490.6102083333</v>
      </c>
      <c r="AA43" s="13" t="n">
        <f aca="false">AA29-AA41</f>
        <v>13897.8670833333</v>
      </c>
      <c r="AB43" s="13" t="n">
        <f aca="false">AB29-AB41</f>
        <v>17319.5479166667</v>
      </c>
      <c r="AC43" s="13" t="n">
        <f aca="false">AC29-AC41</f>
        <v>14262.97875</v>
      </c>
      <c r="AD43" s="13" t="n">
        <f aca="false">AD29-AD41</f>
        <v>22713.1595833333</v>
      </c>
      <c r="AE43" s="13" t="n">
        <f aca="false">AE29-AE41</f>
        <v>14628.0904166667</v>
      </c>
      <c r="AF43" s="13" t="n">
        <f aca="false">AF29-AF41</f>
        <v>18049.77125</v>
      </c>
      <c r="AG43" s="13" t="n">
        <f aca="false">AG29-AG41</f>
        <v>14993.2020833333</v>
      </c>
      <c r="AH43" s="13" t="n">
        <f aca="false">AH29-AH41</f>
        <v>23443.3829166667</v>
      </c>
      <c r="AI43" s="13" t="n">
        <f aca="false">AI29-AI41</f>
        <v>18686.81375</v>
      </c>
      <c r="AJ43" s="13" t="n">
        <f aca="false">AJ29-AJ41</f>
        <v>15451.4945833333</v>
      </c>
      <c r="AK43" s="13" t="n">
        <f aca="false">AK29-AK41</f>
        <v>24080.4254166667</v>
      </c>
      <c r="AL43" s="13" t="n">
        <f aca="false">AL29-AL41</f>
        <v>34230.60625</v>
      </c>
    </row>
    <row r="45" customFormat="false" ht="15" hidden="false" customHeight="false" outlineLevel="0" collapsed="false">
      <c r="B45" s="15" t="s">
        <v>276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</row>
    <row r="46" customFormat="false" ht="15" hidden="false" customHeight="false" outlineLevel="0" collapsed="false">
      <c r="B46" s="2" t="s">
        <v>201</v>
      </c>
      <c r="C46" s="8" t="n">
        <f aca="false">Assumptions!$F$91*(C3&lt;=Assumptions!$F$92)</f>
        <v>900</v>
      </c>
      <c r="D46" s="8" t="n">
        <f aca="false">Assumptions!$F$91*(D3&lt;=Assumptions!$F$92)</f>
        <v>900</v>
      </c>
      <c r="E46" s="8" t="n">
        <f aca="false">Assumptions!$F$91*(E3&lt;=Assumptions!$F$92)</f>
        <v>900</v>
      </c>
      <c r="F46" s="8" t="n">
        <f aca="false">Assumptions!$F$91*(F3&lt;=Assumptions!$F$92)</f>
        <v>900</v>
      </c>
      <c r="G46" s="8" t="n">
        <f aca="false">Assumptions!$F$91*(G3&lt;=Assumptions!$F$92)</f>
        <v>900</v>
      </c>
      <c r="H46" s="8" t="n">
        <f aca="false">Assumptions!$F$91*(H3&lt;=Assumptions!$F$92)</f>
        <v>900</v>
      </c>
      <c r="I46" s="8" t="n">
        <f aca="false">Assumptions!$F$91*(I3&lt;=Assumptions!$F$92)</f>
        <v>900</v>
      </c>
      <c r="J46" s="8" t="n">
        <f aca="false">Assumptions!$F$91*(J3&lt;=Assumptions!$F$92)</f>
        <v>900</v>
      </c>
      <c r="K46" s="8" t="n">
        <f aca="false">Assumptions!$F$91*(K3&lt;=Assumptions!$F$92)</f>
        <v>900</v>
      </c>
      <c r="L46" s="8" t="n">
        <f aca="false">Assumptions!$F$91*(L3&lt;=Assumptions!$F$92)</f>
        <v>900</v>
      </c>
      <c r="M46" s="8" t="n">
        <f aca="false">Assumptions!$F$91*(M3&lt;=Assumptions!$F$92)</f>
        <v>900</v>
      </c>
      <c r="N46" s="8" t="n">
        <f aca="false">Assumptions!$F$91*(N3&lt;=Assumptions!$F$92)</f>
        <v>900</v>
      </c>
      <c r="O46" s="8" t="n">
        <f aca="false">Assumptions!$F$91*(O3&lt;=Assumptions!$F$92)</f>
        <v>900</v>
      </c>
      <c r="P46" s="8" t="n">
        <f aca="false">Assumptions!$F$91*(P3&lt;=Assumptions!$F$92)</f>
        <v>900</v>
      </c>
      <c r="Q46" s="8" t="n">
        <f aca="false">Assumptions!$F$91*(Q3&lt;=Assumptions!$F$92)</f>
        <v>900</v>
      </c>
      <c r="R46" s="8" t="n">
        <f aca="false">Assumptions!$F$91*(R3&lt;=Assumptions!$F$92)</f>
        <v>900</v>
      </c>
      <c r="S46" s="8" t="n">
        <f aca="false">Assumptions!$F$91*(S3&lt;=Assumptions!$F$92)</f>
        <v>900</v>
      </c>
      <c r="T46" s="8" t="n">
        <f aca="false">Assumptions!$F$91*(T3&lt;=Assumptions!$F$92)</f>
        <v>900</v>
      </c>
      <c r="U46" s="8" t="n">
        <f aca="false">Assumptions!$F$91*(U3&lt;=Assumptions!$F$92)</f>
        <v>900</v>
      </c>
      <c r="V46" s="8" t="n">
        <f aca="false">Assumptions!$F$91*(V3&lt;=Assumptions!$F$92)</f>
        <v>900</v>
      </c>
      <c r="W46" s="8" t="n">
        <f aca="false">Assumptions!$F$91*(W3&lt;=Assumptions!$F$92)</f>
        <v>900</v>
      </c>
      <c r="X46" s="8" t="n">
        <f aca="false">Assumptions!$F$91*(X3&lt;=Assumptions!$F$92)</f>
        <v>900</v>
      </c>
      <c r="Y46" s="8" t="n">
        <f aca="false">Assumptions!$F$91*(Y3&lt;=Assumptions!$F$92)</f>
        <v>900</v>
      </c>
      <c r="Z46" s="8" t="n">
        <f aca="false">Assumptions!$F$91*(Z3&lt;=Assumptions!$F$92)</f>
        <v>900</v>
      </c>
      <c r="AA46" s="8" t="n">
        <f aca="false">Assumptions!$F$91*(AA3&lt;=Assumptions!$F$92)</f>
        <v>900</v>
      </c>
      <c r="AB46" s="8" t="n">
        <f aca="false">Assumptions!$F$91*(AB3&lt;=Assumptions!$F$92)</f>
        <v>900</v>
      </c>
      <c r="AC46" s="8" t="n">
        <f aca="false">Assumptions!$F$91*(AC3&lt;=Assumptions!$F$92)</f>
        <v>900</v>
      </c>
      <c r="AD46" s="8" t="n">
        <f aca="false">Assumptions!$F$91*(AD3&lt;=Assumptions!$F$92)</f>
        <v>900</v>
      </c>
      <c r="AE46" s="8" t="n">
        <f aca="false">Assumptions!$F$91*(AE3&lt;=Assumptions!$F$92)</f>
        <v>900</v>
      </c>
      <c r="AF46" s="8" t="n">
        <f aca="false">Assumptions!$F$91*(AF3&lt;=Assumptions!$F$92)</f>
        <v>900</v>
      </c>
      <c r="AG46" s="8" t="n">
        <f aca="false">Assumptions!$F$91*(AG3&lt;=Assumptions!$F$92)</f>
        <v>900</v>
      </c>
      <c r="AH46" s="8" t="n">
        <f aca="false">Assumptions!$F$91*(AH3&lt;=Assumptions!$F$92)</f>
        <v>900</v>
      </c>
      <c r="AI46" s="8" t="n">
        <f aca="false">Assumptions!$F$91*(AI3&lt;=Assumptions!$F$92)</f>
        <v>900</v>
      </c>
      <c r="AJ46" s="8" t="n">
        <f aca="false">Assumptions!$F$91*(AJ3&lt;=Assumptions!$F$92)</f>
        <v>900</v>
      </c>
      <c r="AK46" s="8" t="n">
        <f aca="false">Assumptions!$F$91*(AK3&lt;=Assumptions!$F$92)</f>
        <v>900</v>
      </c>
      <c r="AL46" s="8" t="n">
        <f aca="false">Assumptions!$F$91*(AL3&lt;=Assumptions!$F$92)</f>
        <v>900</v>
      </c>
    </row>
    <row r="47" customFormat="false" ht="15" hidden="false" customHeight="false" outlineLevel="0" collapsed="false">
      <c r="B47" s="2" t="s">
        <v>277</v>
      </c>
      <c r="C47" s="8" t="n">
        <f aca="false">Assumptions!$F$93</f>
        <v>750</v>
      </c>
      <c r="D47" s="8" t="n">
        <f aca="false">Assumptions!$F$93</f>
        <v>750</v>
      </c>
      <c r="E47" s="8" t="n">
        <f aca="false">Assumptions!$F$93</f>
        <v>750</v>
      </c>
      <c r="F47" s="8" t="n">
        <f aca="false">Assumptions!$F$93</f>
        <v>750</v>
      </c>
      <c r="G47" s="8" t="n">
        <f aca="false">Assumptions!$F$93</f>
        <v>750</v>
      </c>
      <c r="H47" s="8" t="n">
        <f aca="false">Assumptions!$F$93</f>
        <v>750</v>
      </c>
      <c r="I47" s="8" t="n">
        <f aca="false">Assumptions!$F$93</f>
        <v>750</v>
      </c>
      <c r="J47" s="8" t="n">
        <f aca="false">Assumptions!$F$93</f>
        <v>750</v>
      </c>
      <c r="K47" s="8" t="n">
        <f aca="false">Assumptions!$F$93</f>
        <v>750</v>
      </c>
      <c r="L47" s="8" t="n">
        <f aca="false">Assumptions!$F$93</f>
        <v>750</v>
      </c>
      <c r="M47" s="8" t="n">
        <f aca="false">Assumptions!$F$93</f>
        <v>750</v>
      </c>
      <c r="N47" s="8" t="n">
        <f aca="false">Assumptions!$F$93</f>
        <v>750</v>
      </c>
      <c r="O47" s="8" t="n">
        <f aca="false">Assumptions!$F$93</f>
        <v>750</v>
      </c>
      <c r="P47" s="8" t="n">
        <f aca="false">Assumptions!$F$93</f>
        <v>750</v>
      </c>
      <c r="Q47" s="8" t="n">
        <f aca="false">Assumptions!$F$93</f>
        <v>750</v>
      </c>
      <c r="R47" s="8" t="n">
        <f aca="false">Assumptions!$F$93</f>
        <v>750</v>
      </c>
      <c r="S47" s="8" t="n">
        <f aca="false">Assumptions!$F$93</f>
        <v>750</v>
      </c>
      <c r="T47" s="8" t="n">
        <f aca="false">Assumptions!$F$93</f>
        <v>750</v>
      </c>
      <c r="U47" s="8" t="n">
        <f aca="false">Assumptions!$F$93</f>
        <v>750</v>
      </c>
      <c r="V47" s="8" t="n">
        <f aca="false">Assumptions!$F$93</f>
        <v>750</v>
      </c>
      <c r="W47" s="8" t="n">
        <f aca="false">Assumptions!$F$93</f>
        <v>750</v>
      </c>
      <c r="X47" s="8" t="n">
        <f aca="false">Assumptions!$F$93</f>
        <v>750</v>
      </c>
      <c r="Y47" s="8" t="n">
        <f aca="false">Assumptions!$F$93</f>
        <v>750</v>
      </c>
      <c r="Z47" s="8" t="n">
        <f aca="false">Assumptions!$F$93</f>
        <v>750</v>
      </c>
      <c r="AA47" s="8" t="n">
        <f aca="false">Assumptions!$F$93</f>
        <v>750</v>
      </c>
      <c r="AB47" s="8" t="n">
        <f aca="false">Assumptions!$F$93</f>
        <v>750</v>
      </c>
      <c r="AC47" s="8" t="n">
        <f aca="false">Assumptions!$F$93</f>
        <v>750</v>
      </c>
      <c r="AD47" s="8" t="n">
        <f aca="false">Assumptions!$F$93</f>
        <v>750</v>
      </c>
      <c r="AE47" s="8" t="n">
        <f aca="false">Assumptions!$F$93</f>
        <v>750</v>
      </c>
      <c r="AF47" s="8" t="n">
        <f aca="false">Assumptions!$F$93</f>
        <v>750</v>
      </c>
      <c r="AG47" s="8" t="n">
        <f aca="false">Assumptions!$F$93</f>
        <v>750</v>
      </c>
      <c r="AH47" s="8" t="n">
        <f aca="false">Assumptions!$F$93</f>
        <v>750</v>
      </c>
      <c r="AI47" s="8" t="n">
        <f aca="false">Assumptions!$F$93</f>
        <v>750</v>
      </c>
      <c r="AJ47" s="8" t="n">
        <f aca="false">Assumptions!$F$93</f>
        <v>750</v>
      </c>
      <c r="AK47" s="8" t="n">
        <f aca="false">Assumptions!$F$93</f>
        <v>750</v>
      </c>
      <c r="AL47" s="8" t="n">
        <f aca="false">Assumptions!$F$93</f>
        <v>750</v>
      </c>
    </row>
    <row r="48" customFormat="false" ht="15" hidden="false" customHeight="false" outlineLevel="0" collapsed="false">
      <c r="B48" s="2" t="s">
        <v>278</v>
      </c>
      <c r="C48" s="8" t="n">
        <f aca="false">Assumptions!$F$94/SUM(Assumptions!$E$106:$E$117)*INDEX(Assumptions!$E$106:$E$117,C$6)</f>
        <v>0</v>
      </c>
      <c r="D48" s="8" t="n">
        <f aca="false">Assumptions!$F$94/SUM(Assumptions!$E$106:$E$117)*INDEX(Assumptions!$E$106:$E$117,D$6)</f>
        <v>0</v>
      </c>
      <c r="E48" s="8" t="n">
        <f aca="false">Assumptions!$F$94/SUM(Assumptions!$E$106:$E$117)*INDEX(Assumptions!$E$106:$E$117,E$6)</f>
        <v>1510</v>
      </c>
      <c r="F48" s="8" t="n">
        <f aca="false">Assumptions!$F$94/SUM(Assumptions!$E$106:$E$117)*INDEX(Assumptions!$E$106:$E$117,F$6)</f>
        <v>1510</v>
      </c>
      <c r="G48" s="8" t="n">
        <f aca="false">Assumptions!$F$94/SUM(Assumptions!$E$106:$E$117)*INDEX(Assumptions!$E$106:$E$117,G$6)</f>
        <v>1510</v>
      </c>
      <c r="H48" s="8" t="n">
        <f aca="false">Assumptions!$F$94/SUM(Assumptions!$E$106:$E$117)*INDEX(Assumptions!$E$106:$E$117,H$6)</f>
        <v>1510</v>
      </c>
      <c r="I48" s="8" t="n">
        <f aca="false">Assumptions!$F$94/SUM(Assumptions!$E$106:$E$117)*INDEX(Assumptions!$E$106:$E$117,I$6)</f>
        <v>1510</v>
      </c>
      <c r="J48" s="8" t="n">
        <f aca="false">Assumptions!$F$94/SUM(Assumptions!$E$106:$E$117)*INDEX(Assumptions!$E$106:$E$117,J$6)</f>
        <v>0</v>
      </c>
      <c r="K48" s="8" t="n">
        <f aca="false">Assumptions!$F$94/SUM(Assumptions!$E$106:$E$117)*INDEX(Assumptions!$E$106:$E$117,K$6)</f>
        <v>0</v>
      </c>
      <c r="L48" s="8" t="n">
        <f aca="false">Assumptions!$F$94/SUM(Assumptions!$E$106:$E$117)*INDEX(Assumptions!$E$106:$E$117,L$6)</f>
        <v>0</v>
      </c>
      <c r="M48" s="8" t="n">
        <f aca="false">Assumptions!$F$94/SUM(Assumptions!$E$106:$E$117)*INDEX(Assumptions!$E$106:$E$117,M$6)</f>
        <v>0</v>
      </c>
      <c r="N48" s="8" t="n">
        <f aca="false">Assumptions!$F$94/SUM(Assumptions!$E$106:$E$117)*INDEX(Assumptions!$E$106:$E$117,N$6)</f>
        <v>0</v>
      </c>
      <c r="O48" s="8" t="n">
        <f aca="false">Assumptions!$F$94/SUM(Assumptions!$E$106:$E$117)*INDEX(Assumptions!$E$106:$E$117,O$6)</f>
        <v>0</v>
      </c>
      <c r="P48" s="8" t="n">
        <f aca="false">Assumptions!$F$94/SUM(Assumptions!$E$106:$E$117)*INDEX(Assumptions!$E$106:$E$117,P$6)</f>
        <v>0</v>
      </c>
      <c r="Q48" s="8" t="n">
        <f aca="false">Assumptions!$F$94/SUM(Assumptions!$E$106:$E$117)*INDEX(Assumptions!$E$106:$E$117,Q$6)</f>
        <v>1510</v>
      </c>
      <c r="R48" s="8" t="n">
        <f aca="false">Assumptions!$F$94/SUM(Assumptions!$E$106:$E$117)*INDEX(Assumptions!$E$106:$E$117,R$6)</f>
        <v>1510</v>
      </c>
      <c r="S48" s="8" t="n">
        <f aca="false">Assumptions!$F$94/SUM(Assumptions!$E$106:$E$117)*INDEX(Assumptions!$E$106:$E$117,S$6)</f>
        <v>1510</v>
      </c>
      <c r="T48" s="8" t="n">
        <f aca="false">Assumptions!$F$94/SUM(Assumptions!$E$106:$E$117)*INDEX(Assumptions!$E$106:$E$117,T$6)</f>
        <v>1510</v>
      </c>
      <c r="U48" s="8" t="n">
        <f aca="false">Assumptions!$F$94/SUM(Assumptions!$E$106:$E$117)*INDEX(Assumptions!$E$106:$E$117,U$6)</f>
        <v>1510</v>
      </c>
      <c r="V48" s="8" t="n">
        <f aca="false">Assumptions!$F$94/SUM(Assumptions!$E$106:$E$117)*INDEX(Assumptions!$E$106:$E$117,V$6)</f>
        <v>0</v>
      </c>
      <c r="W48" s="8" t="n">
        <f aca="false">Assumptions!$F$94/SUM(Assumptions!$E$106:$E$117)*INDEX(Assumptions!$E$106:$E$117,W$6)</f>
        <v>0</v>
      </c>
      <c r="X48" s="8" t="n">
        <f aca="false">Assumptions!$F$94/SUM(Assumptions!$E$106:$E$117)*INDEX(Assumptions!$E$106:$E$117,X$6)</f>
        <v>0</v>
      </c>
      <c r="Y48" s="8" t="n">
        <f aca="false">Assumptions!$F$94/SUM(Assumptions!$E$106:$E$117)*INDEX(Assumptions!$E$106:$E$117,Y$6)</f>
        <v>0</v>
      </c>
      <c r="Z48" s="8" t="n">
        <f aca="false">Assumptions!$F$94/SUM(Assumptions!$E$106:$E$117)*INDEX(Assumptions!$E$106:$E$117,Z$6)</f>
        <v>0</v>
      </c>
      <c r="AA48" s="8" t="n">
        <f aca="false">Assumptions!$F$94/SUM(Assumptions!$E$106:$E$117)*INDEX(Assumptions!$E$106:$E$117,AA$6)</f>
        <v>0</v>
      </c>
      <c r="AB48" s="8" t="n">
        <f aca="false">Assumptions!$F$94/SUM(Assumptions!$E$106:$E$117)*INDEX(Assumptions!$E$106:$E$117,AB$6)</f>
        <v>0</v>
      </c>
      <c r="AC48" s="8" t="n">
        <f aca="false">Assumptions!$F$94/SUM(Assumptions!$E$106:$E$117)*INDEX(Assumptions!$E$106:$E$117,AC$6)</f>
        <v>1510</v>
      </c>
      <c r="AD48" s="8" t="n">
        <f aca="false">Assumptions!$F$94/SUM(Assumptions!$E$106:$E$117)*INDEX(Assumptions!$E$106:$E$117,AD$6)</f>
        <v>1510</v>
      </c>
      <c r="AE48" s="8" t="n">
        <f aca="false">Assumptions!$F$94/SUM(Assumptions!$E$106:$E$117)*INDEX(Assumptions!$E$106:$E$117,AE$6)</f>
        <v>1510</v>
      </c>
      <c r="AF48" s="8" t="n">
        <f aca="false">Assumptions!$F$94/SUM(Assumptions!$E$106:$E$117)*INDEX(Assumptions!$E$106:$E$117,AF$6)</f>
        <v>1510</v>
      </c>
      <c r="AG48" s="8" t="n">
        <f aca="false">Assumptions!$F$94/SUM(Assumptions!$E$106:$E$117)*INDEX(Assumptions!$E$106:$E$117,AG$6)</f>
        <v>1510</v>
      </c>
      <c r="AH48" s="8" t="n">
        <f aca="false">Assumptions!$F$94/SUM(Assumptions!$E$106:$E$117)*INDEX(Assumptions!$E$106:$E$117,AH$6)</f>
        <v>0</v>
      </c>
      <c r="AI48" s="8" t="n">
        <f aca="false">Assumptions!$F$94/SUM(Assumptions!$E$106:$E$117)*INDEX(Assumptions!$E$106:$E$117,AI$6)</f>
        <v>0</v>
      </c>
      <c r="AJ48" s="8" t="n">
        <f aca="false">Assumptions!$F$94/SUM(Assumptions!$E$106:$E$117)*INDEX(Assumptions!$E$106:$E$117,AJ$6)</f>
        <v>0</v>
      </c>
      <c r="AK48" s="8" t="n">
        <f aca="false">Assumptions!$F$94/SUM(Assumptions!$E$106:$E$117)*INDEX(Assumptions!$E$106:$E$117,AK$6)</f>
        <v>0</v>
      </c>
      <c r="AL48" s="8" t="n">
        <f aca="false">Assumptions!$F$94/SUM(Assumptions!$E$106:$E$117)*INDEX(Assumptions!$E$106:$E$117,AL$6)</f>
        <v>0</v>
      </c>
    </row>
    <row r="49" customFormat="false" ht="15" hidden="false" customHeight="false" outlineLevel="0" collapsed="false">
      <c r="B49" s="2" t="s">
        <v>211</v>
      </c>
      <c r="C49" s="8" t="n">
        <f aca="false">Assumptions!$F$95</f>
        <v>0</v>
      </c>
      <c r="D49" s="8" t="n">
        <f aca="false">Assumptions!$F$95</f>
        <v>0</v>
      </c>
      <c r="E49" s="8" t="n">
        <f aca="false">Assumptions!$F$95</f>
        <v>0</v>
      </c>
      <c r="F49" s="8" t="n">
        <f aca="false">Assumptions!$F$95</f>
        <v>0</v>
      </c>
      <c r="G49" s="8" t="n">
        <f aca="false">Assumptions!$F$95</f>
        <v>0</v>
      </c>
      <c r="H49" s="8" t="n">
        <f aca="false">Assumptions!$F$95</f>
        <v>0</v>
      </c>
      <c r="I49" s="8" t="n">
        <f aca="false">Assumptions!$F$95</f>
        <v>0</v>
      </c>
      <c r="J49" s="8" t="n">
        <f aca="false">Assumptions!$F$95</f>
        <v>0</v>
      </c>
      <c r="K49" s="8" t="n">
        <f aca="false">Assumptions!$F$95</f>
        <v>0</v>
      </c>
      <c r="L49" s="8" t="n">
        <f aca="false">Assumptions!$F$95</f>
        <v>0</v>
      </c>
      <c r="M49" s="8" t="n">
        <f aca="false">Assumptions!$F$95</f>
        <v>0</v>
      </c>
      <c r="N49" s="8" t="n">
        <f aca="false">Assumptions!$F$95</f>
        <v>0</v>
      </c>
      <c r="O49" s="8" t="n">
        <f aca="false">Assumptions!$F$95</f>
        <v>0</v>
      </c>
      <c r="P49" s="8" t="n">
        <f aca="false">Assumptions!$F$95</f>
        <v>0</v>
      </c>
      <c r="Q49" s="8" t="n">
        <f aca="false">Assumptions!$F$95</f>
        <v>0</v>
      </c>
      <c r="R49" s="8" t="n">
        <f aca="false">Assumptions!$F$95</f>
        <v>0</v>
      </c>
      <c r="S49" s="8" t="n">
        <f aca="false">Assumptions!$F$95</f>
        <v>0</v>
      </c>
      <c r="T49" s="8" t="n">
        <f aca="false">Assumptions!$F$95</f>
        <v>0</v>
      </c>
      <c r="U49" s="8" t="n">
        <f aca="false">Assumptions!$F$95</f>
        <v>0</v>
      </c>
      <c r="V49" s="8" t="n">
        <f aca="false">Assumptions!$F$95</f>
        <v>0</v>
      </c>
      <c r="W49" s="8" t="n">
        <f aca="false">Assumptions!$F$95</f>
        <v>0</v>
      </c>
      <c r="X49" s="8" t="n">
        <f aca="false">Assumptions!$F$95</f>
        <v>0</v>
      </c>
      <c r="Y49" s="8" t="n">
        <f aca="false">Assumptions!$F$95</f>
        <v>0</v>
      </c>
      <c r="Z49" s="8" t="n">
        <f aca="false">Assumptions!$F$95</f>
        <v>0</v>
      </c>
      <c r="AA49" s="8" t="n">
        <f aca="false">Assumptions!$F$95</f>
        <v>0</v>
      </c>
      <c r="AB49" s="8" t="n">
        <f aca="false">Assumptions!$F$95</f>
        <v>0</v>
      </c>
      <c r="AC49" s="8" t="n">
        <f aca="false">Assumptions!$F$95</f>
        <v>0</v>
      </c>
      <c r="AD49" s="8" t="n">
        <f aca="false">Assumptions!$F$95</f>
        <v>0</v>
      </c>
      <c r="AE49" s="8" t="n">
        <f aca="false">Assumptions!$F$95</f>
        <v>0</v>
      </c>
      <c r="AF49" s="8" t="n">
        <f aca="false">Assumptions!$F$95</f>
        <v>0</v>
      </c>
      <c r="AG49" s="8" t="n">
        <f aca="false">Assumptions!$F$95</f>
        <v>0</v>
      </c>
      <c r="AH49" s="8" t="n">
        <f aca="false">Assumptions!$F$95</f>
        <v>0</v>
      </c>
      <c r="AI49" s="8" t="n">
        <f aca="false">Assumptions!$F$95</f>
        <v>0</v>
      </c>
      <c r="AJ49" s="8" t="n">
        <f aca="false">Assumptions!$F$95</f>
        <v>0</v>
      </c>
      <c r="AK49" s="8" t="n">
        <f aca="false">Assumptions!$F$95</f>
        <v>0</v>
      </c>
      <c r="AL49" s="8" t="n">
        <f aca="false">Assumptions!$F$95</f>
        <v>0</v>
      </c>
    </row>
    <row r="50" customFormat="false" ht="15" hidden="false" customHeight="false" outlineLevel="0" collapsed="false">
      <c r="B50" s="2" t="s">
        <v>213</v>
      </c>
      <c r="C50" s="8" t="n">
        <f aca="false">Assumptions!$F$96</f>
        <v>400</v>
      </c>
      <c r="D50" s="8" t="n">
        <f aca="false">Assumptions!$F$96</f>
        <v>400</v>
      </c>
      <c r="E50" s="8" t="n">
        <f aca="false">Assumptions!$F$96</f>
        <v>400</v>
      </c>
      <c r="F50" s="8" t="n">
        <f aca="false">Assumptions!$F$96</f>
        <v>400</v>
      </c>
      <c r="G50" s="8" t="n">
        <f aca="false">Assumptions!$F$96</f>
        <v>400</v>
      </c>
      <c r="H50" s="8" t="n">
        <f aca="false">Assumptions!$F$96</f>
        <v>400</v>
      </c>
      <c r="I50" s="8" t="n">
        <f aca="false">Assumptions!$F$96</f>
        <v>400</v>
      </c>
      <c r="J50" s="8" t="n">
        <f aca="false">Assumptions!$F$96</f>
        <v>400</v>
      </c>
      <c r="K50" s="8" t="n">
        <f aca="false">Assumptions!$F$96</f>
        <v>400</v>
      </c>
      <c r="L50" s="8" t="n">
        <f aca="false">Assumptions!$F$96</f>
        <v>400</v>
      </c>
      <c r="M50" s="8" t="n">
        <f aca="false">Assumptions!$F$96</f>
        <v>400</v>
      </c>
      <c r="N50" s="8" t="n">
        <f aca="false">Assumptions!$F$96</f>
        <v>400</v>
      </c>
      <c r="O50" s="8" t="n">
        <f aca="false">Assumptions!$F$96</f>
        <v>400</v>
      </c>
      <c r="P50" s="8" t="n">
        <f aca="false">Assumptions!$F$96</f>
        <v>400</v>
      </c>
      <c r="Q50" s="8" t="n">
        <f aca="false">Assumptions!$F$96</f>
        <v>400</v>
      </c>
      <c r="R50" s="8" t="n">
        <f aca="false">Assumptions!$F$96</f>
        <v>400</v>
      </c>
      <c r="S50" s="8" t="n">
        <f aca="false">Assumptions!$F$96</f>
        <v>400</v>
      </c>
      <c r="T50" s="8" t="n">
        <f aca="false">Assumptions!$F$96</f>
        <v>400</v>
      </c>
      <c r="U50" s="8" t="n">
        <f aca="false">Assumptions!$F$96</f>
        <v>400</v>
      </c>
      <c r="V50" s="8" t="n">
        <f aca="false">Assumptions!$F$96</f>
        <v>400</v>
      </c>
      <c r="W50" s="8" t="n">
        <f aca="false">Assumptions!$F$96</f>
        <v>400</v>
      </c>
      <c r="X50" s="8" t="n">
        <f aca="false">Assumptions!$F$96</f>
        <v>400</v>
      </c>
      <c r="Y50" s="8" t="n">
        <f aca="false">Assumptions!$F$96</f>
        <v>400</v>
      </c>
      <c r="Z50" s="8" t="n">
        <f aca="false">Assumptions!$F$96</f>
        <v>400</v>
      </c>
      <c r="AA50" s="8" t="n">
        <f aca="false">Assumptions!$F$96</f>
        <v>400</v>
      </c>
      <c r="AB50" s="8" t="n">
        <f aca="false">Assumptions!$F$96</f>
        <v>400</v>
      </c>
      <c r="AC50" s="8" t="n">
        <f aca="false">Assumptions!$F$96</f>
        <v>400</v>
      </c>
      <c r="AD50" s="8" t="n">
        <f aca="false">Assumptions!$F$96</f>
        <v>400</v>
      </c>
      <c r="AE50" s="8" t="n">
        <f aca="false">Assumptions!$F$96</f>
        <v>400</v>
      </c>
      <c r="AF50" s="8" t="n">
        <f aca="false">Assumptions!$F$96</f>
        <v>400</v>
      </c>
      <c r="AG50" s="8" t="n">
        <f aca="false">Assumptions!$F$96</f>
        <v>400</v>
      </c>
      <c r="AH50" s="8" t="n">
        <f aca="false">Assumptions!$F$96</f>
        <v>400</v>
      </c>
      <c r="AI50" s="8" t="n">
        <f aca="false">Assumptions!$F$96</f>
        <v>400</v>
      </c>
      <c r="AJ50" s="8" t="n">
        <f aca="false">Assumptions!$F$96</f>
        <v>400</v>
      </c>
      <c r="AK50" s="8" t="n">
        <f aca="false">Assumptions!$F$96</f>
        <v>400</v>
      </c>
      <c r="AL50" s="8" t="n">
        <f aca="false">Assumptions!$F$96</f>
        <v>400</v>
      </c>
    </row>
    <row r="51" customFormat="false" ht="15" hidden="false" customHeight="false" outlineLevel="0" collapsed="false">
      <c r="B51" s="2" t="s">
        <v>214</v>
      </c>
      <c r="C51" s="8" t="n">
        <f aca="false">Assumptions!$F$97</f>
        <v>250</v>
      </c>
      <c r="D51" s="8" t="n">
        <f aca="false">Assumptions!$F$97</f>
        <v>250</v>
      </c>
      <c r="E51" s="8" t="n">
        <f aca="false">Assumptions!$F$97</f>
        <v>250</v>
      </c>
      <c r="F51" s="8" t="n">
        <f aca="false">Assumptions!$F$97</f>
        <v>250</v>
      </c>
      <c r="G51" s="8" t="n">
        <f aca="false">Assumptions!$F$97</f>
        <v>250</v>
      </c>
      <c r="H51" s="8" t="n">
        <f aca="false">Assumptions!$F$97</f>
        <v>250</v>
      </c>
      <c r="I51" s="8" t="n">
        <f aca="false">Assumptions!$F$97</f>
        <v>250</v>
      </c>
      <c r="J51" s="8" t="n">
        <f aca="false">Assumptions!$F$97</f>
        <v>250</v>
      </c>
      <c r="K51" s="8" t="n">
        <f aca="false">Assumptions!$F$97</f>
        <v>250</v>
      </c>
      <c r="L51" s="8" t="n">
        <f aca="false">Assumptions!$F$97</f>
        <v>250</v>
      </c>
      <c r="M51" s="8" t="n">
        <f aca="false">Assumptions!$F$97</f>
        <v>250</v>
      </c>
      <c r="N51" s="8" t="n">
        <f aca="false">Assumptions!$F$97</f>
        <v>250</v>
      </c>
      <c r="O51" s="8" t="n">
        <f aca="false">Assumptions!$F$97</f>
        <v>250</v>
      </c>
      <c r="P51" s="8" t="n">
        <f aca="false">Assumptions!$F$97</f>
        <v>250</v>
      </c>
      <c r="Q51" s="8" t="n">
        <f aca="false">Assumptions!$F$97</f>
        <v>250</v>
      </c>
      <c r="R51" s="8" t="n">
        <f aca="false">Assumptions!$F$97</f>
        <v>250</v>
      </c>
      <c r="S51" s="8" t="n">
        <f aca="false">Assumptions!$F$97</f>
        <v>250</v>
      </c>
      <c r="T51" s="8" t="n">
        <f aca="false">Assumptions!$F$97</f>
        <v>250</v>
      </c>
      <c r="U51" s="8" t="n">
        <f aca="false">Assumptions!$F$97</f>
        <v>250</v>
      </c>
      <c r="V51" s="8" t="n">
        <f aca="false">Assumptions!$F$97</f>
        <v>250</v>
      </c>
      <c r="W51" s="8" t="n">
        <f aca="false">Assumptions!$F$97</f>
        <v>250</v>
      </c>
      <c r="X51" s="8" t="n">
        <f aca="false">Assumptions!$F$97</f>
        <v>250</v>
      </c>
      <c r="Y51" s="8" t="n">
        <f aca="false">Assumptions!$F$97</f>
        <v>250</v>
      </c>
      <c r="Z51" s="8" t="n">
        <f aca="false">Assumptions!$F$97</f>
        <v>250</v>
      </c>
      <c r="AA51" s="8" t="n">
        <f aca="false">Assumptions!$F$97</f>
        <v>250</v>
      </c>
      <c r="AB51" s="8" t="n">
        <f aca="false">Assumptions!$F$97</f>
        <v>250</v>
      </c>
      <c r="AC51" s="8" t="n">
        <f aca="false">Assumptions!$F$97</f>
        <v>250</v>
      </c>
      <c r="AD51" s="8" t="n">
        <f aca="false">Assumptions!$F$97</f>
        <v>250</v>
      </c>
      <c r="AE51" s="8" t="n">
        <f aca="false">Assumptions!$F$97</f>
        <v>250</v>
      </c>
      <c r="AF51" s="8" t="n">
        <f aca="false">Assumptions!$F$97</f>
        <v>250</v>
      </c>
      <c r="AG51" s="8" t="n">
        <f aca="false">Assumptions!$F$97</f>
        <v>250</v>
      </c>
      <c r="AH51" s="8" t="n">
        <f aca="false">Assumptions!$F$97</f>
        <v>250</v>
      </c>
      <c r="AI51" s="8" t="n">
        <f aca="false">Assumptions!$F$97</f>
        <v>250</v>
      </c>
      <c r="AJ51" s="8" t="n">
        <f aca="false">Assumptions!$F$97</f>
        <v>250</v>
      </c>
      <c r="AK51" s="8" t="n">
        <f aca="false">Assumptions!$F$97</f>
        <v>250</v>
      </c>
      <c r="AL51" s="8" t="n">
        <f aca="false">Assumptions!$F$97</f>
        <v>250</v>
      </c>
    </row>
    <row r="52" customFormat="false" ht="15" hidden="false" customHeight="false" outlineLevel="0" collapsed="false">
      <c r="B52" s="2" t="s">
        <v>215</v>
      </c>
      <c r="C52" s="8" t="n">
        <f aca="false">Assumptions!$F$98/12</f>
        <v>83.3333333333333</v>
      </c>
      <c r="D52" s="8" t="n">
        <f aca="false">Assumptions!$F$98/12</f>
        <v>83.3333333333333</v>
      </c>
      <c r="E52" s="8" t="n">
        <f aca="false">Assumptions!$F$98/12</f>
        <v>83.3333333333333</v>
      </c>
      <c r="F52" s="8" t="n">
        <f aca="false">Assumptions!$F$98/12</f>
        <v>83.3333333333333</v>
      </c>
      <c r="G52" s="8" t="n">
        <f aca="false">Assumptions!$F$98/12</f>
        <v>83.3333333333333</v>
      </c>
      <c r="H52" s="8" t="n">
        <f aca="false">Assumptions!$F$98/12</f>
        <v>83.3333333333333</v>
      </c>
      <c r="I52" s="8" t="n">
        <f aca="false">Assumptions!$F$98/12</f>
        <v>83.3333333333333</v>
      </c>
      <c r="J52" s="8" t="n">
        <f aca="false">Assumptions!$F$98/12</f>
        <v>83.3333333333333</v>
      </c>
      <c r="K52" s="8" t="n">
        <f aca="false">Assumptions!$F$98/12</f>
        <v>83.3333333333333</v>
      </c>
      <c r="L52" s="8" t="n">
        <f aca="false">Assumptions!$F$98/12</f>
        <v>83.3333333333333</v>
      </c>
      <c r="M52" s="8" t="n">
        <f aca="false">Assumptions!$F$98/12</f>
        <v>83.3333333333333</v>
      </c>
      <c r="N52" s="8" t="n">
        <f aca="false">Assumptions!$F$98/12</f>
        <v>83.3333333333333</v>
      </c>
      <c r="O52" s="8" t="n">
        <f aca="false">Assumptions!$F$98/12</f>
        <v>83.3333333333333</v>
      </c>
      <c r="P52" s="8" t="n">
        <f aca="false">Assumptions!$F$98/12</f>
        <v>83.3333333333333</v>
      </c>
      <c r="Q52" s="8" t="n">
        <f aca="false">Assumptions!$F$98/12</f>
        <v>83.3333333333333</v>
      </c>
      <c r="R52" s="8" t="n">
        <f aca="false">Assumptions!$F$98/12</f>
        <v>83.3333333333333</v>
      </c>
      <c r="S52" s="8" t="n">
        <f aca="false">Assumptions!$F$98/12</f>
        <v>83.3333333333333</v>
      </c>
      <c r="T52" s="8" t="n">
        <f aca="false">Assumptions!$F$98/12</f>
        <v>83.3333333333333</v>
      </c>
      <c r="U52" s="8" t="n">
        <f aca="false">Assumptions!$F$98/12</f>
        <v>83.3333333333333</v>
      </c>
      <c r="V52" s="8" t="n">
        <f aca="false">Assumptions!$F$98/12</f>
        <v>83.3333333333333</v>
      </c>
      <c r="W52" s="8" t="n">
        <f aca="false">Assumptions!$F$98/12</f>
        <v>83.3333333333333</v>
      </c>
      <c r="X52" s="8" t="n">
        <f aca="false">Assumptions!$F$98/12</f>
        <v>83.3333333333333</v>
      </c>
      <c r="Y52" s="8" t="n">
        <f aca="false">Assumptions!$F$98/12</f>
        <v>83.3333333333333</v>
      </c>
      <c r="Z52" s="8" t="n">
        <f aca="false">Assumptions!$F$98/12</f>
        <v>83.3333333333333</v>
      </c>
      <c r="AA52" s="8" t="n">
        <f aca="false">Assumptions!$F$98/12</f>
        <v>83.3333333333333</v>
      </c>
      <c r="AB52" s="8" t="n">
        <f aca="false">Assumptions!$F$98/12</f>
        <v>83.3333333333333</v>
      </c>
      <c r="AC52" s="8" t="n">
        <f aca="false">Assumptions!$F$98/12</f>
        <v>83.3333333333333</v>
      </c>
      <c r="AD52" s="8" t="n">
        <f aca="false">Assumptions!$F$98/12</f>
        <v>83.3333333333333</v>
      </c>
      <c r="AE52" s="8" t="n">
        <f aca="false">Assumptions!$F$98/12</f>
        <v>83.3333333333333</v>
      </c>
      <c r="AF52" s="8" t="n">
        <f aca="false">Assumptions!$F$98/12</f>
        <v>83.3333333333333</v>
      </c>
      <c r="AG52" s="8" t="n">
        <f aca="false">Assumptions!$F$98/12</f>
        <v>83.3333333333333</v>
      </c>
      <c r="AH52" s="8" t="n">
        <f aca="false">Assumptions!$F$98/12</f>
        <v>83.3333333333333</v>
      </c>
      <c r="AI52" s="8" t="n">
        <f aca="false">Assumptions!$F$98/12</f>
        <v>83.3333333333333</v>
      </c>
      <c r="AJ52" s="8" t="n">
        <f aca="false">Assumptions!$F$98/12</f>
        <v>83.3333333333333</v>
      </c>
      <c r="AK52" s="8" t="n">
        <f aca="false">Assumptions!$F$98/12</f>
        <v>83.3333333333333</v>
      </c>
      <c r="AL52" s="8" t="n">
        <f aca="false">Assumptions!$F$98/12</f>
        <v>83.3333333333333</v>
      </c>
    </row>
    <row r="53" customFormat="false" ht="15" hidden="false" customHeight="false" outlineLevel="0" collapsed="false">
      <c r="B53" s="9" t="s">
        <v>279</v>
      </c>
      <c r="C53" s="10" t="n">
        <f aca="false">SUM(C46:C52)</f>
        <v>2383.33333333333</v>
      </c>
      <c r="D53" s="10" t="n">
        <f aca="false">SUM(D46:D52)</f>
        <v>2383.33333333333</v>
      </c>
      <c r="E53" s="10" t="n">
        <f aca="false">SUM(E46:E52)</f>
        <v>3893.33333333333</v>
      </c>
      <c r="F53" s="10" t="n">
        <f aca="false">SUM(F46:F52)</f>
        <v>3893.33333333333</v>
      </c>
      <c r="G53" s="10" t="n">
        <f aca="false">SUM(G46:G52)</f>
        <v>3893.33333333333</v>
      </c>
      <c r="H53" s="10" t="n">
        <f aca="false">SUM(H46:H52)</f>
        <v>3893.33333333333</v>
      </c>
      <c r="I53" s="10" t="n">
        <f aca="false">SUM(I46:I52)</f>
        <v>3893.33333333333</v>
      </c>
      <c r="J53" s="10" t="n">
        <f aca="false">SUM(J46:J52)</f>
        <v>2383.33333333333</v>
      </c>
      <c r="K53" s="10" t="n">
        <f aca="false">SUM(K46:K52)</f>
        <v>2383.33333333333</v>
      </c>
      <c r="L53" s="10" t="n">
        <f aca="false">SUM(L46:L52)</f>
        <v>2383.33333333333</v>
      </c>
      <c r="M53" s="10" t="n">
        <f aca="false">SUM(M46:M52)</f>
        <v>2383.33333333333</v>
      </c>
      <c r="N53" s="10" t="n">
        <f aca="false">SUM(N46:N52)</f>
        <v>2383.33333333333</v>
      </c>
      <c r="O53" s="10" t="n">
        <f aca="false">SUM(O46:O52)</f>
        <v>2383.33333333333</v>
      </c>
      <c r="P53" s="10" t="n">
        <f aca="false">SUM(P46:P52)</f>
        <v>2383.33333333333</v>
      </c>
      <c r="Q53" s="10" t="n">
        <f aca="false">SUM(Q46:Q52)</f>
        <v>3893.33333333333</v>
      </c>
      <c r="R53" s="10" t="n">
        <f aca="false">SUM(R46:R52)</f>
        <v>3893.33333333333</v>
      </c>
      <c r="S53" s="10" t="n">
        <f aca="false">SUM(S46:S52)</f>
        <v>3893.33333333333</v>
      </c>
      <c r="T53" s="10" t="n">
        <f aca="false">SUM(T46:T52)</f>
        <v>3893.33333333333</v>
      </c>
      <c r="U53" s="10" t="n">
        <f aca="false">SUM(U46:U52)</f>
        <v>3893.33333333333</v>
      </c>
      <c r="V53" s="10" t="n">
        <f aca="false">SUM(V46:V52)</f>
        <v>2383.33333333333</v>
      </c>
      <c r="W53" s="10" t="n">
        <f aca="false">SUM(W46:W52)</f>
        <v>2383.33333333333</v>
      </c>
      <c r="X53" s="10" t="n">
        <f aca="false">SUM(X46:X52)</f>
        <v>2383.33333333333</v>
      </c>
      <c r="Y53" s="10" t="n">
        <f aca="false">SUM(Y46:Y52)</f>
        <v>2383.33333333333</v>
      </c>
      <c r="Z53" s="10" t="n">
        <f aca="false">SUM(Z46:Z52)</f>
        <v>2383.33333333333</v>
      </c>
      <c r="AA53" s="10" t="n">
        <f aca="false">SUM(AA46:AA52)</f>
        <v>2383.33333333333</v>
      </c>
      <c r="AB53" s="10" t="n">
        <f aca="false">SUM(AB46:AB52)</f>
        <v>2383.33333333333</v>
      </c>
      <c r="AC53" s="10" t="n">
        <f aca="false">SUM(AC46:AC52)</f>
        <v>3893.33333333333</v>
      </c>
      <c r="AD53" s="10" t="n">
        <f aca="false">SUM(AD46:AD52)</f>
        <v>3893.33333333333</v>
      </c>
      <c r="AE53" s="10" t="n">
        <f aca="false">SUM(AE46:AE52)</f>
        <v>3893.33333333333</v>
      </c>
      <c r="AF53" s="10" t="n">
        <f aca="false">SUM(AF46:AF52)</f>
        <v>3893.33333333333</v>
      </c>
      <c r="AG53" s="10" t="n">
        <f aca="false">SUM(AG46:AG52)</f>
        <v>3893.33333333333</v>
      </c>
      <c r="AH53" s="10" t="n">
        <f aca="false">SUM(AH46:AH52)</f>
        <v>2383.33333333333</v>
      </c>
      <c r="AI53" s="10" t="n">
        <f aca="false">SUM(AI46:AI52)</f>
        <v>2383.33333333333</v>
      </c>
      <c r="AJ53" s="10" t="n">
        <f aca="false">SUM(AJ46:AJ52)</f>
        <v>2383.33333333333</v>
      </c>
      <c r="AK53" s="10" t="n">
        <f aca="false">SUM(AK46:AK52)</f>
        <v>2383.33333333333</v>
      </c>
      <c r="AL53" s="10" t="n">
        <f aca="false">SUM(AL46:AL52)</f>
        <v>2383.33333333333</v>
      </c>
    </row>
    <row r="55" customFormat="false" ht="15" hidden="false" customHeight="false" outlineLevel="0" collapsed="false">
      <c r="B55" s="11" t="s">
        <v>34</v>
      </c>
      <c r="C55" s="12" t="n">
        <f aca="false">C43-C53</f>
        <v>1876.37958333333</v>
      </c>
      <c r="D55" s="12" t="n">
        <f aca="false">D43-D53</f>
        <v>3061.02583333333</v>
      </c>
      <c r="E55" s="12" t="n">
        <f aca="false">E43-E53</f>
        <v>824.672083333333</v>
      </c>
      <c r="F55" s="12" t="n">
        <f aca="false">F43-F53</f>
        <v>4163.56833333333</v>
      </c>
      <c r="G55" s="12" t="n">
        <f aca="false">G43-G53</f>
        <v>1461.71458333333</v>
      </c>
      <c r="H55" s="12" t="n">
        <f aca="false">H43-H53</f>
        <v>2646.36083333333</v>
      </c>
      <c r="I55" s="12" t="n">
        <f aca="false">I43-I53</f>
        <v>1920.00708333333</v>
      </c>
      <c r="J55" s="12" t="n">
        <f aca="false">J43-J53</f>
        <v>6590.15333333333</v>
      </c>
      <c r="K55" s="12" t="n">
        <f aca="false">K43-K53</f>
        <v>5022.54958333333</v>
      </c>
      <c r="L55" s="12" t="n">
        <f aca="false">L43-L53</f>
        <v>4296.19583333333</v>
      </c>
      <c r="M55" s="12" t="n">
        <f aca="false">M43-M53</f>
        <v>7456.34208333333</v>
      </c>
      <c r="N55" s="12" t="n">
        <f aca="false">N43-N53</f>
        <v>11636.4883333333</v>
      </c>
      <c r="O55" s="12" t="n">
        <f aca="false">O43-O53</f>
        <v>7246.42791666667</v>
      </c>
      <c r="P55" s="12" t="n">
        <f aca="false">P43-P53</f>
        <v>9275.54145833333</v>
      </c>
      <c r="Q55" s="12" t="n">
        <f aca="false">Q43-Q53</f>
        <v>6058.755</v>
      </c>
      <c r="R55" s="12" t="n">
        <f aca="false">R43-R53</f>
        <v>11494.5685416667</v>
      </c>
      <c r="S55" s="12" t="n">
        <f aca="false">S43-S53</f>
        <v>6559.83208333333</v>
      </c>
      <c r="T55" s="12" t="n">
        <f aca="false">T43-T53</f>
        <v>8588.945625</v>
      </c>
      <c r="U55" s="12" t="n">
        <f aca="false">U43-U53</f>
        <v>7060.90916666667</v>
      </c>
      <c r="V55" s="12" t="n">
        <f aca="false">V43-V53</f>
        <v>13827.9727083333</v>
      </c>
      <c r="W55" s="12" t="n">
        <f aca="false">W43-W53</f>
        <v>10761.18625</v>
      </c>
      <c r="X55" s="12" t="n">
        <f aca="false">X43-X53</f>
        <v>9233.14979166666</v>
      </c>
      <c r="Y55" s="12" t="n">
        <f aca="false">Y43-Y53</f>
        <v>14490.2133333333</v>
      </c>
      <c r="Z55" s="12" t="n">
        <f aca="false">Z43-Z53</f>
        <v>21107.276875</v>
      </c>
      <c r="AA55" s="12" t="n">
        <f aca="false">AA43-AA53</f>
        <v>11514.53375</v>
      </c>
      <c r="AB55" s="12" t="n">
        <f aca="false">AB43-AB53</f>
        <v>14936.2145833333</v>
      </c>
      <c r="AC55" s="12" t="n">
        <f aca="false">AC43-AC53</f>
        <v>10369.6454166667</v>
      </c>
      <c r="AD55" s="12" t="n">
        <f aca="false">AD43-AD53</f>
        <v>18819.82625</v>
      </c>
      <c r="AE55" s="12" t="n">
        <f aca="false">AE43-AE53</f>
        <v>10734.7570833333</v>
      </c>
      <c r="AF55" s="12" t="n">
        <f aca="false">AF43-AF53</f>
        <v>14156.4379166667</v>
      </c>
      <c r="AG55" s="12" t="n">
        <f aca="false">AG43-AG53</f>
        <v>11099.86875</v>
      </c>
      <c r="AH55" s="12" t="n">
        <f aca="false">AH43-AH53</f>
        <v>21060.0495833333</v>
      </c>
      <c r="AI55" s="12" t="n">
        <f aca="false">AI43-AI53</f>
        <v>16303.4804166667</v>
      </c>
      <c r="AJ55" s="12" t="n">
        <f aca="false">AJ43-AJ53</f>
        <v>13068.16125</v>
      </c>
      <c r="AK55" s="12" t="n">
        <f aca="false">AK43-AK53</f>
        <v>21697.0920833333</v>
      </c>
      <c r="AL55" s="12" t="n">
        <f aca="false">AL43-AL53</f>
        <v>31847.2729166667</v>
      </c>
    </row>
    <row r="56" customFormat="false" ht="15" hidden="false" customHeight="false" outlineLevel="0" collapsed="false">
      <c r="B56" s="2" t="s">
        <v>280</v>
      </c>
      <c r="C56" s="8" t="n">
        <f aca="false">C55</f>
        <v>1876.37958333333</v>
      </c>
      <c r="D56" s="8" t="n">
        <f aca="false">C56+D55</f>
        <v>4937.40541666667</v>
      </c>
      <c r="E56" s="8" t="n">
        <f aca="false">D56+E55</f>
        <v>5762.0775</v>
      </c>
      <c r="F56" s="8" t="n">
        <f aca="false">E56+F55</f>
        <v>9925.64583333333</v>
      </c>
      <c r="G56" s="8" t="n">
        <f aca="false">F56+G55</f>
        <v>11387.3604166667</v>
      </c>
      <c r="H56" s="8" t="n">
        <f aca="false">G56+H55</f>
        <v>14033.72125</v>
      </c>
      <c r="I56" s="8" t="n">
        <f aca="false">H56+I55</f>
        <v>15953.7283333333</v>
      </c>
      <c r="J56" s="8" t="n">
        <f aca="false">I56+J55</f>
        <v>22543.8816666667</v>
      </c>
      <c r="K56" s="8" t="n">
        <f aca="false">J56+K55</f>
        <v>27566.43125</v>
      </c>
      <c r="L56" s="8" t="n">
        <f aca="false">K56+L55</f>
        <v>31862.6270833333</v>
      </c>
      <c r="M56" s="8" t="n">
        <f aca="false">L56+M55</f>
        <v>39318.9691666667</v>
      </c>
      <c r="N56" s="8" t="n">
        <f aca="false">M56+N55</f>
        <v>50955.4575</v>
      </c>
      <c r="O56" s="8" t="n">
        <f aca="false">N56+O55</f>
        <v>58201.8854166667</v>
      </c>
      <c r="P56" s="8" t="n">
        <f aca="false">O56+P55</f>
        <v>67477.426875</v>
      </c>
      <c r="Q56" s="8" t="n">
        <f aca="false">P56+Q55</f>
        <v>73536.181875</v>
      </c>
      <c r="R56" s="8" t="n">
        <f aca="false">Q56+R55</f>
        <v>85030.7504166667</v>
      </c>
      <c r="S56" s="8" t="n">
        <f aca="false">R56+S55</f>
        <v>91590.5825</v>
      </c>
      <c r="T56" s="8" t="n">
        <f aca="false">S56+T55</f>
        <v>100179.528125</v>
      </c>
      <c r="U56" s="8" t="n">
        <f aca="false">T56+U55</f>
        <v>107240.437291667</v>
      </c>
      <c r="V56" s="8" t="n">
        <f aca="false">U56+V55</f>
        <v>121068.41</v>
      </c>
      <c r="W56" s="8" t="n">
        <f aca="false">V56+W55</f>
        <v>131829.59625</v>
      </c>
      <c r="X56" s="8" t="n">
        <f aca="false">W56+X55</f>
        <v>141062.746041667</v>
      </c>
      <c r="Y56" s="8" t="n">
        <f aca="false">X56+Y55</f>
        <v>155552.959375</v>
      </c>
      <c r="Z56" s="8" t="n">
        <f aca="false">Y56+Z55</f>
        <v>176660.23625</v>
      </c>
      <c r="AA56" s="8" t="n">
        <f aca="false">Z56+AA55</f>
        <v>188174.77</v>
      </c>
      <c r="AB56" s="8" t="n">
        <f aca="false">AA56+AB55</f>
        <v>203110.984583333</v>
      </c>
      <c r="AC56" s="8" t="n">
        <f aca="false">AB56+AC55</f>
        <v>213480.63</v>
      </c>
      <c r="AD56" s="8" t="n">
        <f aca="false">AC56+AD55</f>
        <v>232300.45625</v>
      </c>
      <c r="AE56" s="8" t="n">
        <f aca="false">AD56+AE55</f>
        <v>243035.213333333</v>
      </c>
      <c r="AF56" s="8" t="n">
        <f aca="false">AE56+AF55</f>
        <v>257191.65125</v>
      </c>
      <c r="AG56" s="8" t="n">
        <f aca="false">AF56+AG55</f>
        <v>268291.52</v>
      </c>
      <c r="AH56" s="8" t="n">
        <f aca="false">AG56+AH55</f>
        <v>289351.569583333</v>
      </c>
      <c r="AI56" s="8" t="n">
        <f aca="false">AH56+AI55</f>
        <v>305655.05</v>
      </c>
      <c r="AJ56" s="8" t="n">
        <f aca="false">AI56+AJ55</f>
        <v>318723.21125</v>
      </c>
      <c r="AK56" s="8" t="n">
        <f aca="false">AJ56+AK55</f>
        <v>340420.303333333</v>
      </c>
      <c r="AL56" s="8" t="n">
        <f aca="false">AK56+AL55</f>
        <v>372267.57625</v>
      </c>
    </row>
    <row r="58" customFormat="false" ht="15" hidden="false" customHeight="false" outlineLevel="0" collapsed="false">
      <c r="B58" s="15" t="s">
        <v>281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customFormat="false" ht="15" hidden="false" customHeight="false" outlineLevel="0" collapsed="false">
      <c r="B59" s="2" t="s">
        <v>282</v>
      </c>
      <c r="C59" s="33" t="n">
        <f aca="false">C13+Assumptions!$F$86+Assumptions!$F$77*(CHOOSE(C$5,Assumptions!$F$74,Assumptions!$F$75,Assumptions!$F$76)&gt;0)+CHOOSE(C$5,Assumptions!$F$32,Assumptions!$F$33,Assumptions!$F$34)*Assumptions!$F$37</f>
        <v>17.25</v>
      </c>
      <c r="D59" s="33" t="n">
        <f aca="false">D13+Assumptions!$F$86+Assumptions!$F$77*(CHOOSE(D$5,Assumptions!$F$74,Assumptions!$F$75,Assumptions!$F$76)&gt;0)+CHOOSE(D$5,Assumptions!$F$32,Assumptions!$F$33,Assumptions!$F$34)*Assumptions!$F$37</f>
        <v>18.25</v>
      </c>
      <c r="E59" s="33" t="n">
        <f aca="false">E13+Assumptions!$F$86+Assumptions!$F$77*(CHOOSE(E$5,Assumptions!$F$74,Assumptions!$F$75,Assumptions!$F$76)&gt;0)+CHOOSE(E$5,Assumptions!$F$32,Assumptions!$F$33,Assumptions!$F$34)*Assumptions!$F$37</f>
        <v>19.25</v>
      </c>
      <c r="F59" s="33" t="n">
        <f aca="false">F13+Assumptions!$F$86+Assumptions!$F$77*(CHOOSE(F$5,Assumptions!$F$74,Assumptions!$F$75,Assumptions!$F$76)&gt;0)+CHOOSE(F$5,Assumptions!$F$32,Assumptions!$F$33,Assumptions!$F$34)*Assumptions!$F$37</f>
        <v>19.25</v>
      </c>
      <c r="G59" s="33" t="n">
        <f aca="false">G13+Assumptions!$F$86+Assumptions!$F$77*(CHOOSE(G$5,Assumptions!$F$74,Assumptions!$F$75,Assumptions!$F$76)&gt;0)+CHOOSE(G$5,Assumptions!$F$32,Assumptions!$F$33,Assumptions!$F$34)*Assumptions!$F$37</f>
        <v>20.25</v>
      </c>
      <c r="H59" s="33" t="n">
        <f aca="false">H13+Assumptions!$F$86+Assumptions!$F$77*(CHOOSE(H$5,Assumptions!$F$74,Assumptions!$F$75,Assumptions!$F$76)&gt;0)+CHOOSE(H$5,Assumptions!$F$32,Assumptions!$F$33,Assumptions!$F$34)*Assumptions!$F$37</f>
        <v>21.25</v>
      </c>
      <c r="I59" s="33" t="n">
        <f aca="false">I13+Assumptions!$F$86+Assumptions!$F$77*(CHOOSE(I$5,Assumptions!$F$74,Assumptions!$F$75,Assumptions!$F$76)&gt;0)+CHOOSE(I$5,Assumptions!$F$32,Assumptions!$F$33,Assumptions!$F$34)*Assumptions!$F$37</f>
        <v>22.25</v>
      </c>
      <c r="J59" s="33" t="n">
        <f aca="false">J13+Assumptions!$F$86+Assumptions!$F$77*(CHOOSE(J$5,Assumptions!$F$74,Assumptions!$F$75,Assumptions!$F$76)&gt;0)+CHOOSE(J$5,Assumptions!$F$32,Assumptions!$F$33,Assumptions!$F$34)*Assumptions!$F$37</f>
        <v>23.25</v>
      </c>
      <c r="K59" s="33" t="n">
        <f aca="false">K13+Assumptions!$F$86+Assumptions!$F$77*(CHOOSE(K$5,Assumptions!$F$74,Assumptions!$F$75,Assumptions!$F$76)&gt;0)+CHOOSE(K$5,Assumptions!$F$32,Assumptions!$F$33,Assumptions!$F$34)*Assumptions!$F$37</f>
        <v>23.25</v>
      </c>
      <c r="L59" s="33" t="n">
        <f aca="false">L13+Assumptions!$F$86+Assumptions!$F$77*(CHOOSE(L$5,Assumptions!$F$74,Assumptions!$F$75,Assumptions!$F$76)&gt;0)+CHOOSE(L$5,Assumptions!$F$32,Assumptions!$F$33,Assumptions!$F$34)*Assumptions!$F$37</f>
        <v>24.25</v>
      </c>
      <c r="M59" s="33" t="n">
        <f aca="false">M13+Assumptions!$F$86+Assumptions!$F$77*(CHOOSE(M$5,Assumptions!$F$74,Assumptions!$F$75,Assumptions!$F$76)&gt;0)+CHOOSE(M$5,Assumptions!$F$32,Assumptions!$F$33,Assumptions!$F$34)*Assumptions!$F$37</f>
        <v>25.25</v>
      </c>
      <c r="N59" s="33" t="n">
        <f aca="false">N13+Assumptions!$F$86+Assumptions!$F$77*(CHOOSE(N$5,Assumptions!$F$74,Assumptions!$F$75,Assumptions!$F$76)&gt;0)+CHOOSE(N$5,Assumptions!$F$32,Assumptions!$F$33,Assumptions!$F$34)*Assumptions!$F$37</f>
        <v>26.25</v>
      </c>
      <c r="O59" s="33" t="n">
        <f aca="false">O13+Assumptions!$F$86+Assumptions!$F$77*(CHOOSE(O$5,Assumptions!$F$74,Assumptions!$F$75,Assumptions!$F$76)&gt;0)+CHOOSE(O$5,Assumptions!$F$32,Assumptions!$F$33,Assumptions!$F$34)*Assumptions!$F$37</f>
        <v>27.75</v>
      </c>
      <c r="P59" s="33" t="n">
        <f aca="false">P13+Assumptions!$F$86+Assumptions!$F$77*(CHOOSE(P$5,Assumptions!$F$74,Assumptions!$F$75,Assumptions!$F$76)&gt;0)+CHOOSE(P$5,Assumptions!$F$32,Assumptions!$F$33,Assumptions!$F$34)*Assumptions!$F$37</f>
        <v>28.75</v>
      </c>
      <c r="Q59" s="33" t="n">
        <f aca="false">Q13+Assumptions!$F$86+Assumptions!$F$77*(CHOOSE(Q$5,Assumptions!$F$74,Assumptions!$F$75,Assumptions!$F$76)&gt;0)+CHOOSE(Q$5,Assumptions!$F$32,Assumptions!$F$33,Assumptions!$F$34)*Assumptions!$F$37</f>
        <v>29.75</v>
      </c>
      <c r="R59" s="33" t="n">
        <f aca="false">R13+Assumptions!$F$86+Assumptions!$F$77*(CHOOSE(R$5,Assumptions!$F$74,Assumptions!$F$75,Assumptions!$F$76)&gt;0)+CHOOSE(R$5,Assumptions!$F$32,Assumptions!$F$33,Assumptions!$F$34)*Assumptions!$F$37</f>
        <v>29.75</v>
      </c>
      <c r="S59" s="33" t="n">
        <f aca="false">S13+Assumptions!$F$86+Assumptions!$F$77*(CHOOSE(S$5,Assumptions!$F$74,Assumptions!$F$75,Assumptions!$F$76)&gt;0)+CHOOSE(S$5,Assumptions!$F$32,Assumptions!$F$33,Assumptions!$F$34)*Assumptions!$F$37</f>
        <v>30.75</v>
      </c>
      <c r="T59" s="33" t="n">
        <f aca="false">T13+Assumptions!$F$86+Assumptions!$F$77*(CHOOSE(T$5,Assumptions!$F$74,Assumptions!$F$75,Assumptions!$F$76)&gt;0)+CHOOSE(T$5,Assumptions!$F$32,Assumptions!$F$33,Assumptions!$F$34)*Assumptions!$F$37</f>
        <v>31.75</v>
      </c>
      <c r="U59" s="33" t="n">
        <f aca="false">U13+Assumptions!$F$86+Assumptions!$F$77*(CHOOSE(U$5,Assumptions!$F$74,Assumptions!$F$75,Assumptions!$F$76)&gt;0)+CHOOSE(U$5,Assumptions!$F$32,Assumptions!$F$33,Assumptions!$F$34)*Assumptions!$F$37</f>
        <v>31.75</v>
      </c>
      <c r="V59" s="33" t="n">
        <f aca="false">V13+Assumptions!$F$86+Assumptions!$F$77*(CHOOSE(V$5,Assumptions!$F$74,Assumptions!$F$75,Assumptions!$F$76)&gt;0)+CHOOSE(V$5,Assumptions!$F$32,Assumptions!$F$33,Assumptions!$F$34)*Assumptions!$F$37</f>
        <v>32.75</v>
      </c>
      <c r="W59" s="33" t="n">
        <f aca="false">W13+Assumptions!$F$86+Assumptions!$F$77*(CHOOSE(W$5,Assumptions!$F$74,Assumptions!$F$75,Assumptions!$F$76)&gt;0)+CHOOSE(W$5,Assumptions!$F$32,Assumptions!$F$33,Assumptions!$F$34)*Assumptions!$F$37</f>
        <v>33.75</v>
      </c>
      <c r="X59" s="33" t="n">
        <f aca="false">X13+Assumptions!$F$86+Assumptions!$F$77*(CHOOSE(X$5,Assumptions!$F$74,Assumptions!$F$75,Assumptions!$F$76)&gt;0)+CHOOSE(X$5,Assumptions!$F$32,Assumptions!$F$33,Assumptions!$F$34)*Assumptions!$F$37</f>
        <v>33.75</v>
      </c>
      <c r="Y59" s="33" t="n">
        <f aca="false">Y13+Assumptions!$F$86+Assumptions!$F$77*(CHOOSE(Y$5,Assumptions!$F$74,Assumptions!$F$75,Assumptions!$F$76)&gt;0)+CHOOSE(Y$5,Assumptions!$F$32,Assumptions!$F$33,Assumptions!$F$34)*Assumptions!$F$37</f>
        <v>34.75</v>
      </c>
      <c r="Z59" s="33" t="n">
        <f aca="false">Z13+Assumptions!$F$86+Assumptions!$F$77*(CHOOSE(Z$5,Assumptions!$F$74,Assumptions!$F$75,Assumptions!$F$76)&gt;0)+CHOOSE(Z$5,Assumptions!$F$32,Assumptions!$F$33,Assumptions!$F$34)*Assumptions!$F$37</f>
        <v>35.75</v>
      </c>
      <c r="AA59" s="33" t="n">
        <f aca="false">AA13+Assumptions!$F$86+Assumptions!$F$77*(CHOOSE(AA$5,Assumptions!$F$74,Assumptions!$F$75,Assumptions!$F$76)&gt;0)+CHOOSE(AA$5,Assumptions!$F$32,Assumptions!$F$33,Assumptions!$F$34)*Assumptions!$F$37</f>
        <v>37.25</v>
      </c>
      <c r="AB59" s="33" t="n">
        <f aca="false">AB13+Assumptions!$F$86+Assumptions!$F$77*(CHOOSE(AB$5,Assumptions!$F$74,Assumptions!$F$75,Assumptions!$F$76)&gt;0)+CHOOSE(AB$5,Assumptions!$F$32,Assumptions!$F$33,Assumptions!$F$34)*Assumptions!$F$37</f>
        <v>38.25</v>
      </c>
      <c r="AC59" s="33" t="n">
        <f aca="false">AC13+Assumptions!$F$86+Assumptions!$F$77*(CHOOSE(AC$5,Assumptions!$F$74,Assumptions!$F$75,Assumptions!$F$76)&gt;0)+CHOOSE(AC$5,Assumptions!$F$32,Assumptions!$F$33,Assumptions!$F$34)*Assumptions!$F$37</f>
        <v>38.25</v>
      </c>
      <c r="AD59" s="33" t="n">
        <f aca="false">AD13+Assumptions!$F$86+Assumptions!$F$77*(CHOOSE(AD$5,Assumptions!$F$74,Assumptions!$F$75,Assumptions!$F$76)&gt;0)+CHOOSE(AD$5,Assumptions!$F$32,Assumptions!$F$33,Assumptions!$F$34)*Assumptions!$F$37</f>
        <v>39.25</v>
      </c>
      <c r="AE59" s="33" t="n">
        <f aca="false">AE13+Assumptions!$F$86+Assumptions!$F$77*(CHOOSE(AE$5,Assumptions!$F$74,Assumptions!$F$75,Assumptions!$F$76)&gt;0)+CHOOSE(AE$5,Assumptions!$F$32,Assumptions!$F$33,Assumptions!$F$34)*Assumptions!$F$37</f>
        <v>39.25</v>
      </c>
      <c r="AF59" s="33" t="n">
        <f aca="false">AF13+Assumptions!$F$86+Assumptions!$F$77*(CHOOSE(AF$5,Assumptions!$F$74,Assumptions!$F$75,Assumptions!$F$76)&gt;0)+CHOOSE(AF$5,Assumptions!$F$32,Assumptions!$F$33,Assumptions!$F$34)*Assumptions!$F$37</f>
        <v>40.25</v>
      </c>
      <c r="AG59" s="33" t="n">
        <f aca="false">AG13+Assumptions!$F$86+Assumptions!$F$77*(CHOOSE(AG$5,Assumptions!$F$74,Assumptions!$F$75,Assumptions!$F$76)&gt;0)+CHOOSE(AG$5,Assumptions!$F$32,Assumptions!$F$33,Assumptions!$F$34)*Assumptions!$F$37</f>
        <v>40.25</v>
      </c>
      <c r="AH59" s="33" t="n">
        <f aca="false">AH13+Assumptions!$F$86+Assumptions!$F$77*(CHOOSE(AH$5,Assumptions!$F$74,Assumptions!$F$75,Assumptions!$F$76)&gt;0)+CHOOSE(AH$5,Assumptions!$F$32,Assumptions!$F$33,Assumptions!$F$34)*Assumptions!$F$37</f>
        <v>41.25</v>
      </c>
      <c r="AI59" s="33" t="n">
        <f aca="false">AI13+Assumptions!$F$86+Assumptions!$F$77*(CHOOSE(AI$5,Assumptions!$F$74,Assumptions!$F$75,Assumptions!$F$76)&gt;0)+CHOOSE(AI$5,Assumptions!$F$32,Assumptions!$F$33,Assumptions!$F$34)*Assumptions!$F$37</f>
        <v>41.25</v>
      </c>
      <c r="AJ59" s="33" t="n">
        <f aca="false">AJ13+Assumptions!$F$86+Assumptions!$F$77*(CHOOSE(AJ$5,Assumptions!$F$74,Assumptions!$F$75,Assumptions!$F$76)&gt;0)+CHOOSE(AJ$5,Assumptions!$F$32,Assumptions!$F$33,Assumptions!$F$34)*Assumptions!$F$37</f>
        <v>42.25</v>
      </c>
      <c r="AK59" s="33" t="n">
        <f aca="false">AK13+Assumptions!$F$86+Assumptions!$F$77*(CHOOSE(AK$5,Assumptions!$F$74,Assumptions!$F$75,Assumptions!$F$76)&gt;0)+CHOOSE(AK$5,Assumptions!$F$32,Assumptions!$F$33,Assumptions!$F$34)*Assumptions!$F$37</f>
        <v>42.25</v>
      </c>
      <c r="AL59" s="33" t="n">
        <f aca="false">AL13+Assumptions!$F$86+Assumptions!$F$77*(CHOOSE(AL$5,Assumptions!$F$74,Assumptions!$F$75,Assumptions!$F$76)&gt;0)+CHOOSE(AL$5,Assumptions!$F$32,Assumptions!$F$33,Assumptions!$F$34)*Assumptions!$F$37</f>
        <v>43.25</v>
      </c>
    </row>
    <row r="60" customFormat="false" ht="15" hidden="false" customHeight="false" outlineLevel="0" collapsed="false">
      <c r="B60" s="2" t="s">
        <v>283</v>
      </c>
      <c r="C60" s="7" t="n">
        <f aca="false">C59/Assumptions!$F$29</f>
        <v>0.383333333333333</v>
      </c>
      <c r="D60" s="7" t="n">
        <f aca="false">D59/Assumptions!$F$29</f>
        <v>0.405555555555556</v>
      </c>
      <c r="E60" s="7" t="n">
        <f aca="false">E59/Assumptions!$F$29</f>
        <v>0.427777777777778</v>
      </c>
      <c r="F60" s="7" t="n">
        <f aca="false">F59/Assumptions!$F$29</f>
        <v>0.427777777777778</v>
      </c>
      <c r="G60" s="7" t="n">
        <f aca="false">G59/Assumptions!$F$29</f>
        <v>0.45</v>
      </c>
      <c r="H60" s="7" t="n">
        <f aca="false">H59/Assumptions!$F$29</f>
        <v>0.472222222222222</v>
      </c>
      <c r="I60" s="7" t="n">
        <f aca="false">I59/Assumptions!$F$29</f>
        <v>0.494444444444444</v>
      </c>
      <c r="J60" s="7" t="n">
        <f aca="false">J59/Assumptions!$F$29</f>
        <v>0.516666666666667</v>
      </c>
      <c r="K60" s="7" t="n">
        <f aca="false">K59/Assumptions!$F$29</f>
        <v>0.516666666666667</v>
      </c>
      <c r="L60" s="7" t="n">
        <f aca="false">L59/Assumptions!$F$29</f>
        <v>0.538888888888889</v>
      </c>
      <c r="M60" s="7" t="n">
        <f aca="false">M59/Assumptions!$F$29</f>
        <v>0.561111111111111</v>
      </c>
      <c r="N60" s="7" t="n">
        <f aca="false">N59/Assumptions!$F$29</f>
        <v>0.583333333333333</v>
      </c>
      <c r="O60" s="7" t="n">
        <f aca="false">O59/Assumptions!$F$29</f>
        <v>0.616666666666667</v>
      </c>
      <c r="P60" s="7" t="n">
        <f aca="false">P59/Assumptions!$F$29</f>
        <v>0.638888888888889</v>
      </c>
      <c r="Q60" s="7" t="n">
        <f aca="false">Q59/Assumptions!$F$29</f>
        <v>0.661111111111111</v>
      </c>
      <c r="R60" s="7" t="n">
        <f aca="false">R59/Assumptions!$F$29</f>
        <v>0.661111111111111</v>
      </c>
      <c r="S60" s="7" t="n">
        <f aca="false">S59/Assumptions!$F$29</f>
        <v>0.683333333333333</v>
      </c>
      <c r="T60" s="7" t="n">
        <f aca="false">T59/Assumptions!$F$29</f>
        <v>0.705555555555556</v>
      </c>
      <c r="U60" s="7" t="n">
        <f aca="false">U59/Assumptions!$F$29</f>
        <v>0.705555555555556</v>
      </c>
      <c r="V60" s="7" t="n">
        <f aca="false">V59/Assumptions!$F$29</f>
        <v>0.727777777777778</v>
      </c>
      <c r="W60" s="7" t="n">
        <f aca="false">W59/Assumptions!$F$29</f>
        <v>0.75</v>
      </c>
      <c r="X60" s="7" t="n">
        <f aca="false">X59/Assumptions!$F$29</f>
        <v>0.75</v>
      </c>
      <c r="Y60" s="7" t="n">
        <f aca="false">Y59/Assumptions!$F$29</f>
        <v>0.772222222222222</v>
      </c>
      <c r="Z60" s="7" t="n">
        <f aca="false">Z59/Assumptions!$F$29</f>
        <v>0.794444444444444</v>
      </c>
      <c r="AA60" s="7" t="n">
        <f aca="false">AA59/Assumptions!$F$29</f>
        <v>0.827777777777778</v>
      </c>
      <c r="AB60" s="7" t="n">
        <f aca="false">AB59/Assumptions!$F$29</f>
        <v>0.85</v>
      </c>
      <c r="AC60" s="7" t="n">
        <f aca="false">AC59/Assumptions!$F$29</f>
        <v>0.85</v>
      </c>
      <c r="AD60" s="7" t="n">
        <f aca="false">AD59/Assumptions!$F$29</f>
        <v>0.872222222222222</v>
      </c>
      <c r="AE60" s="7" t="n">
        <f aca="false">AE59/Assumptions!$F$29</f>
        <v>0.872222222222222</v>
      </c>
      <c r="AF60" s="7" t="n">
        <f aca="false">AF59/Assumptions!$F$29</f>
        <v>0.894444444444445</v>
      </c>
      <c r="AG60" s="7" t="n">
        <f aca="false">AG59/Assumptions!$F$29</f>
        <v>0.894444444444445</v>
      </c>
      <c r="AH60" s="7" t="n">
        <f aca="false">AH59/Assumptions!$F$29</f>
        <v>0.916666666666667</v>
      </c>
      <c r="AI60" s="7" t="n">
        <f aca="false">AI59/Assumptions!$F$29</f>
        <v>0.916666666666667</v>
      </c>
      <c r="AJ60" s="7" t="n">
        <f aca="false">AJ59/Assumptions!$F$29</f>
        <v>0.938888888888889</v>
      </c>
      <c r="AK60" s="7" t="n">
        <f aca="false">AK59/Assumptions!$F$29</f>
        <v>0.938888888888889</v>
      </c>
      <c r="AL60" s="7" t="n">
        <f aca="false">AL59/Assumptions!$F$29</f>
        <v>0.961111111111111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3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4" t="s">
        <v>285</v>
      </c>
    </row>
    <row r="4" customFormat="false" ht="15" hidden="false" customHeight="false" outlineLevel="0" collapsed="false">
      <c r="A4" s="15" t="s">
        <v>286</v>
      </c>
      <c r="B4" s="15" t="s">
        <v>287</v>
      </c>
      <c r="C4" s="15" t="s">
        <v>288</v>
      </c>
      <c r="D4" s="15" t="s">
        <v>289</v>
      </c>
      <c r="E4" s="15" t="s">
        <v>54</v>
      </c>
    </row>
    <row r="5" customFormat="false" ht="15" hidden="false" customHeight="false" outlineLevel="0" collapsed="false">
      <c r="A5" s="2" t="s">
        <v>290</v>
      </c>
      <c r="B5" s="25" t="n">
        <v>30000</v>
      </c>
      <c r="C5" s="25" t="n">
        <v>36399</v>
      </c>
      <c r="D5" s="8" t="n">
        <f aca="false">AVERAGE(B5:C5)</f>
        <v>33199.5</v>
      </c>
      <c r="E5" s="4" t="s">
        <v>291</v>
      </c>
    </row>
    <row r="6" customFormat="false" ht="15" hidden="false" customHeight="false" outlineLevel="0" collapsed="false">
      <c r="A6" s="2" t="s">
        <v>292</v>
      </c>
      <c r="B6" s="25" t="n">
        <v>7000</v>
      </c>
      <c r="C6" s="25" t="n">
        <v>12000</v>
      </c>
      <c r="D6" s="8" t="n">
        <f aca="false">AVERAGE(B6:C6)</f>
        <v>9500</v>
      </c>
      <c r="E6" s="4" t="s">
        <v>293</v>
      </c>
    </row>
    <row r="7" customFormat="false" ht="15" hidden="false" customHeight="false" outlineLevel="0" collapsed="false">
      <c r="A7" s="2" t="s">
        <v>294</v>
      </c>
      <c r="B7" s="25" t="n">
        <v>12000</v>
      </c>
      <c r="C7" s="25" t="n">
        <v>20000</v>
      </c>
      <c r="D7" s="8" t="n">
        <f aca="false">AVERAGE(B7:C7)</f>
        <v>16000</v>
      </c>
      <c r="E7" s="4" t="s">
        <v>295</v>
      </c>
    </row>
    <row r="8" customFormat="false" ht="15" hidden="false" customHeight="false" outlineLevel="0" collapsed="false">
      <c r="A8" s="2" t="s">
        <v>296</v>
      </c>
      <c r="B8" s="25" t="n">
        <v>8000</v>
      </c>
      <c r="C8" s="25" t="n">
        <v>15000</v>
      </c>
      <c r="D8" s="8" t="n">
        <f aca="false">AVERAGE(B8:C8)</f>
        <v>11500</v>
      </c>
      <c r="E8" s="4" t="s">
        <v>297</v>
      </c>
    </row>
    <row r="9" customFormat="false" ht="15" hidden="false" customHeight="false" outlineLevel="0" collapsed="false">
      <c r="A9" s="2" t="s">
        <v>298</v>
      </c>
      <c r="B9" s="25" t="n">
        <v>6403</v>
      </c>
      <c r="C9" s="25" t="n">
        <v>8425</v>
      </c>
      <c r="D9" s="8" t="n">
        <f aca="false">AVERAGE(B9:C9)</f>
        <v>7414</v>
      </c>
      <c r="E9" s="4" t="s">
        <v>299</v>
      </c>
    </row>
    <row r="10" customFormat="false" ht="15" hidden="false" customHeight="false" outlineLevel="0" collapsed="false">
      <c r="A10" s="2" t="s">
        <v>300</v>
      </c>
      <c r="B10" s="25" t="n">
        <v>2552</v>
      </c>
      <c r="C10" s="25" t="n">
        <v>3358</v>
      </c>
      <c r="D10" s="8" t="n">
        <f aca="false">AVERAGE(B10:C10)</f>
        <v>2955</v>
      </c>
      <c r="E10" s="4" t="s">
        <v>301</v>
      </c>
    </row>
    <row r="11" customFormat="false" ht="15" hidden="false" customHeight="false" outlineLevel="0" collapsed="false">
      <c r="A11" s="2" t="s">
        <v>302</v>
      </c>
      <c r="B11" s="25" t="n">
        <v>4000</v>
      </c>
      <c r="C11" s="25" t="n">
        <v>4000</v>
      </c>
      <c r="D11" s="8" t="n">
        <f aca="false">AVERAGE(B11:C11)</f>
        <v>4000</v>
      </c>
      <c r="E11" s="4" t="s">
        <v>303</v>
      </c>
    </row>
    <row r="12" customFormat="false" ht="15" hidden="false" customHeight="false" outlineLevel="0" collapsed="false">
      <c r="A12" s="2" t="s">
        <v>304</v>
      </c>
      <c r="B12" s="25" t="n">
        <v>3650</v>
      </c>
      <c r="C12" s="25" t="n">
        <v>6650</v>
      </c>
      <c r="D12" s="8" t="n">
        <f aca="false">AVERAGE(B12:C12)</f>
        <v>5150</v>
      </c>
      <c r="E12" s="4" t="s">
        <v>305</v>
      </c>
    </row>
    <row r="13" customFormat="false" ht="15" hidden="false" customHeight="false" outlineLevel="0" collapsed="false">
      <c r="A13" s="2" t="s">
        <v>306</v>
      </c>
      <c r="B13" s="25" t="n">
        <v>3000</v>
      </c>
      <c r="C13" s="25" t="n">
        <v>8000</v>
      </c>
      <c r="D13" s="8" t="n">
        <f aca="false">AVERAGE(B13:C13)</f>
        <v>5500</v>
      </c>
      <c r="E13" s="4" t="s">
        <v>307</v>
      </c>
    </row>
    <row r="14" customFormat="false" ht="15" hidden="false" customHeight="false" outlineLevel="0" collapsed="false">
      <c r="A14" s="2" t="s">
        <v>308</v>
      </c>
      <c r="B14" s="25" t="n">
        <v>5813</v>
      </c>
      <c r="C14" s="25" t="n">
        <v>9423</v>
      </c>
      <c r="D14" s="8" t="n">
        <f aca="false">AVERAGE(B14:C14)</f>
        <v>7618</v>
      </c>
      <c r="E14" s="4" t="s">
        <v>309</v>
      </c>
    </row>
    <row r="15" customFormat="false" ht="15" hidden="false" customHeight="false" outlineLevel="0" collapsed="false">
      <c r="A15" s="0" t="s">
        <v>310</v>
      </c>
      <c r="B15" s="23" t="n">
        <v>0.1</v>
      </c>
      <c r="E15" s="4" t="s">
        <v>76</v>
      </c>
    </row>
    <row r="16" customFormat="false" ht="15" hidden="false" customHeight="false" outlineLevel="0" collapsed="false">
      <c r="A16" s="3" t="s">
        <v>311</v>
      </c>
      <c r="B16" s="10" t="n">
        <f aca="false">SUM(B5:B14)*(1+$B$15)</f>
        <v>90659.8</v>
      </c>
      <c r="C16" s="10" t="n">
        <f aca="false">SUM(C5:C14)*(1+$B$15)</f>
        <v>135580.5</v>
      </c>
      <c r="D16" s="10" t="n">
        <f aca="false">SUM(D5:D14)*(1+$B$15)</f>
        <v>113120.15</v>
      </c>
    </row>
    <row r="18" customFormat="false" ht="15" hidden="false" customHeight="false" outlineLevel="0" collapsed="false">
      <c r="A18" s="15" t="s">
        <v>312</v>
      </c>
      <c r="B18" s="15" t="s">
        <v>287</v>
      </c>
      <c r="C18" s="15" t="s">
        <v>288</v>
      </c>
      <c r="D18" s="15" t="s">
        <v>289</v>
      </c>
      <c r="E18" s="15" t="s">
        <v>54</v>
      </c>
    </row>
    <row r="19" customFormat="false" ht="15" hidden="false" customHeight="false" outlineLevel="0" collapsed="false">
      <c r="A19" s="2" t="s">
        <v>201</v>
      </c>
      <c r="B19" s="25" t="n">
        <v>38600</v>
      </c>
      <c r="C19" s="25" t="n">
        <v>38600</v>
      </c>
      <c r="D19" s="34" t="n">
        <f aca="false">AVERAGE(B19:C19)</f>
        <v>38600</v>
      </c>
      <c r="E19" s="4" t="s">
        <v>313</v>
      </c>
    </row>
    <row r="20" customFormat="false" ht="15" hidden="false" customHeight="false" outlineLevel="0" collapsed="false">
      <c r="A20" s="2" t="s">
        <v>314</v>
      </c>
      <c r="B20" s="25" t="n">
        <v>0</v>
      </c>
      <c r="C20" s="25" t="n">
        <v>0</v>
      </c>
      <c r="D20" s="34" t="n">
        <f aca="false">AVERAGE(B20:C20)</f>
        <v>0</v>
      </c>
      <c r="E20" s="4" t="s">
        <v>315</v>
      </c>
    </row>
    <row r="21" customFormat="false" ht="15" hidden="false" customHeight="false" outlineLevel="0" collapsed="false">
      <c r="A21" s="2" t="s">
        <v>316</v>
      </c>
      <c r="B21" s="25" t="n">
        <v>0</v>
      </c>
      <c r="C21" s="25" t="n">
        <v>5000</v>
      </c>
      <c r="D21" s="34" t="n">
        <f aca="false">AVERAGE(B21:C21)</f>
        <v>2500</v>
      </c>
      <c r="E21" s="4" t="s">
        <v>317</v>
      </c>
    </row>
    <row r="22" customFormat="false" ht="15" hidden="false" customHeight="false" outlineLevel="0" collapsed="false">
      <c r="A22" s="3" t="s">
        <v>318</v>
      </c>
      <c r="B22" s="10" t="n">
        <f aca="false">MAX(0,B16-SUM(B19:B21))</f>
        <v>52059.8</v>
      </c>
      <c r="C22" s="10" t="n">
        <f aca="false">MAX(0,C16-SUM(C19:C21))</f>
        <v>91980.5</v>
      </c>
      <c r="D22" s="10" t="n">
        <f aca="false">MAX(0,D16-SUM(D19:D21))</f>
        <v>72020.15</v>
      </c>
      <c r="E22" s="4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4" min="3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4" t="s">
        <v>321</v>
      </c>
    </row>
    <row r="4" customFormat="false" ht="15" hidden="false" customHeight="false" outlineLevel="0" collapsed="false">
      <c r="A4" s="15" t="s">
        <v>322</v>
      </c>
      <c r="B4" s="15" t="s">
        <v>323</v>
      </c>
      <c r="C4" s="15" t="s">
        <v>324</v>
      </c>
      <c r="D4" s="15" t="s">
        <v>325</v>
      </c>
      <c r="E4" s="15" t="s">
        <v>326</v>
      </c>
    </row>
    <row r="5" customFormat="false" ht="15" hidden="false" customHeight="false" outlineLevel="0" collapsed="false">
      <c r="A5" s="35" t="s">
        <v>327</v>
      </c>
      <c r="B5" s="35" t="s">
        <v>328</v>
      </c>
      <c r="C5" s="35" t="s">
        <v>329</v>
      </c>
      <c r="D5" s="35" t="s">
        <v>330</v>
      </c>
      <c r="E5" s="35" t="s">
        <v>331</v>
      </c>
    </row>
    <row r="6" customFormat="false" ht="15" hidden="false" customHeight="false" outlineLevel="0" collapsed="false">
      <c r="A6" s="35" t="s">
        <v>332</v>
      </c>
      <c r="B6" s="35" t="s">
        <v>333</v>
      </c>
      <c r="C6" s="35" t="s">
        <v>334</v>
      </c>
      <c r="D6" s="35" t="s">
        <v>335</v>
      </c>
      <c r="E6" s="35" t="s">
        <v>336</v>
      </c>
    </row>
    <row r="7" customFormat="false" ht="23.85" hidden="false" customHeight="false" outlineLevel="0" collapsed="false">
      <c r="A7" s="35" t="s">
        <v>337</v>
      </c>
      <c r="B7" s="35" t="s">
        <v>338</v>
      </c>
      <c r="C7" s="35" t="s">
        <v>334</v>
      </c>
      <c r="D7" s="35" t="s">
        <v>339</v>
      </c>
      <c r="E7" s="35" t="s">
        <v>340</v>
      </c>
    </row>
    <row r="8" customFormat="false" ht="23.85" hidden="false" customHeight="false" outlineLevel="0" collapsed="false">
      <c r="A8" s="35" t="s">
        <v>341</v>
      </c>
      <c r="B8" s="35" t="s">
        <v>342</v>
      </c>
      <c r="C8" s="35" t="s">
        <v>343</v>
      </c>
      <c r="D8" s="35" t="s">
        <v>344</v>
      </c>
      <c r="E8" s="35" t="s">
        <v>345</v>
      </c>
    </row>
    <row r="9" customFormat="false" ht="23.85" hidden="false" customHeight="false" outlineLevel="0" collapsed="false">
      <c r="A9" s="35" t="s">
        <v>346</v>
      </c>
      <c r="B9" s="35" t="s">
        <v>347</v>
      </c>
      <c r="C9" s="35" t="s">
        <v>348</v>
      </c>
      <c r="D9" s="35" t="s">
        <v>349</v>
      </c>
      <c r="E9" s="35" t="s">
        <v>350</v>
      </c>
    </row>
    <row r="10" customFormat="false" ht="23.85" hidden="false" customHeight="false" outlineLevel="0" collapsed="false">
      <c r="A10" s="35" t="s">
        <v>351</v>
      </c>
      <c r="B10" s="35" t="s">
        <v>352</v>
      </c>
      <c r="C10" s="35" t="s">
        <v>353</v>
      </c>
      <c r="D10" s="35" t="s">
        <v>354</v>
      </c>
      <c r="E10" s="35" t="s">
        <v>340</v>
      </c>
    </row>
    <row r="11" customFormat="false" ht="15" hidden="false" customHeight="false" outlineLevel="0" collapsed="false">
      <c r="A11" s="35" t="s">
        <v>355</v>
      </c>
      <c r="B11" s="35" t="s">
        <v>356</v>
      </c>
      <c r="C11" s="35" t="s">
        <v>334</v>
      </c>
      <c r="D11" s="35" t="s">
        <v>357</v>
      </c>
      <c r="E11" s="35" t="s">
        <v>358</v>
      </c>
    </row>
    <row r="12" customFormat="false" ht="15" hidden="false" customHeight="false" outlineLevel="0" collapsed="false">
      <c r="A12" s="35" t="s">
        <v>359</v>
      </c>
      <c r="B12" s="35" t="s">
        <v>360</v>
      </c>
      <c r="C12" s="35" t="s">
        <v>361</v>
      </c>
      <c r="D12" s="35" t="s">
        <v>362</v>
      </c>
      <c r="E12" s="35" t="s">
        <v>363</v>
      </c>
    </row>
    <row r="14" customFormat="false" ht="15" hidden="false" customHeight="false" outlineLevel="0" collapsed="false">
      <c r="A14" s="3" t="s">
        <v>364</v>
      </c>
    </row>
    <row r="15" customFormat="false" ht="31.5" hidden="false" customHeight="true" outlineLevel="0" collapsed="false">
      <c r="A15" s="36" t="s">
        <v>365</v>
      </c>
      <c r="B15" s="36"/>
      <c r="C15" s="36"/>
      <c r="D15" s="36"/>
      <c r="E15" s="36"/>
    </row>
    <row r="16" customFormat="false" ht="31.5" hidden="false" customHeight="true" outlineLevel="0" collapsed="false">
      <c r="A16" s="36" t="s">
        <v>366</v>
      </c>
      <c r="B16" s="36"/>
      <c r="C16" s="36"/>
      <c r="D16" s="36"/>
      <c r="E16" s="36"/>
    </row>
    <row r="17" customFormat="false" ht="31.5" hidden="false" customHeight="true" outlineLevel="0" collapsed="false">
      <c r="A17" s="36" t="s">
        <v>367</v>
      </c>
      <c r="B17" s="36"/>
      <c r="C17" s="36"/>
      <c r="D17" s="36"/>
      <c r="E17" s="36"/>
    </row>
    <row r="18" customFormat="false" ht="31.5" hidden="false" customHeight="true" outlineLevel="0" collapsed="false">
      <c r="A18" s="36" t="s">
        <v>368</v>
      </c>
      <c r="B18" s="36"/>
      <c r="C18" s="36"/>
      <c r="D18" s="36"/>
      <c r="E18" s="36"/>
    </row>
    <row r="19" customFormat="false" ht="31.5" hidden="false" customHeight="true" outlineLevel="0" collapsed="false">
      <c r="A19" s="36" t="s">
        <v>369</v>
      </c>
      <c r="B19" s="36"/>
      <c r="C19" s="36"/>
      <c r="D19" s="36"/>
      <c r="E19" s="36"/>
    </row>
    <row r="20" customFormat="false" ht="31.5" hidden="false" customHeight="true" outlineLevel="0" collapsed="false">
      <c r="A20" s="36" t="s">
        <v>370</v>
      </c>
      <c r="B20" s="36"/>
      <c r="C20" s="36"/>
      <c r="D20" s="36"/>
      <c r="E20" s="36"/>
    </row>
  </sheetData>
  <mergeCells count="6">
    <mergeCell ref="A15:E15"/>
    <mergeCell ref="A16:E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2026-10-29T15:18:36Z</dcterms:created>
  <dc:creator>openpyxl</dc:creator>
  <dc:description/>
  <dc:language>en-US</dc:language>
  <cp:lastModifiedBy/>
  <dcterms:modified xsi:type="dcterms:W3CDTF">2026-10-29T15:18:37Z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